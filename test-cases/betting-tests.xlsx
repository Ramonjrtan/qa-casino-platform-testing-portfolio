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onJrTan\Downloads\qa-casino-platform-testing-portfolio\qa-casino-platform-testing-portfolio\test-cases\"/>
    </mc:Choice>
  </mc:AlternateContent>
  <xr:revisionPtr revIDLastSave="0" documentId="13_ncr:1_{00A6E095-260E-431F-9301-E94DB6D99EFB}" xr6:coauthVersionLast="47" xr6:coauthVersionMax="47" xr10:uidLastSave="{00000000-0000-0000-0000-000000000000}"/>
  <bookViews>
    <workbookView xWindow="28680" yWindow="-120" windowWidth="29040" windowHeight="15720" firstSheet="2" activeTab="7" xr2:uid="{00000000-000D-0000-FFFF-FFFF00000000}"/>
  </bookViews>
  <sheets>
    <sheet name="README" sheetId="1" r:id="rId1"/>
    <sheet name="Summary" sheetId="2" r:id="rId2"/>
    <sheet name="10_Player_Access" sheetId="3" r:id="rId3"/>
    <sheet name="20_Game_Session_Lobby" sheetId="4" r:id="rId4"/>
    <sheet name="30_Bet_Placement" sheetId="5" r:id="rId5"/>
    <sheet name="40_Settlement_Payouts" sheetId="6" r:id="rId6"/>
    <sheet name="50_Limits_Error_Handling" sheetId="7" r:id="rId7"/>
    <sheet name="60_Betting_E2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6" i="2"/>
  <c r="B25" i="2"/>
  <c r="B24" i="2"/>
  <c r="C19" i="2"/>
  <c r="E24" i="2" s="1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F19" i="2" s="1"/>
  <c r="E15" i="2"/>
  <c r="E19" i="2" s="1"/>
  <c r="D15" i="2"/>
  <c r="D19" i="2" s="1"/>
  <c r="C15" i="2"/>
  <c r="F14" i="2"/>
  <c r="E14" i="2"/>
  <c r="D14" i="2"/>
  <c r="C14" i="2"/>
  <c r="F13" i="2"/>
  <c r="E13" i="2"/>
  <c r="D13" i="2"/>
  <c r="C13" i="2"/>
  <c r="E25" i="2" l="1"/>
  <c r="E26" i="2" s="1"/>
  <c r="E28" i="2" l="1"/>
  <c r="E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sharedStrings.xml><?xml version="1.0" encoding="utf-8"?>
<sst xmlns="http://schemas.openxmlformats.org/spreadsheetml/2006/main" count="526" uniqueCount="311">
  <si>
    <t>Casino Betting - QA Manual Test Case Test Pack</t>
  </si>
  <si>
    <t>Purpose</t>
  </si>
  <si>
    <t>Provide reusable sample manual test cases across casino platform qa / betting &amp; game flows workflows in a simulated casino platform, including core positive, negative, integration, and end-to-end flows.</t>
  </si>
  <si>
    <t>How to use</t>
  </si>
  <si>
    <t>Open each module sheet and update the Status and Notes columns during execution. Summary KPIs and module counts refresh automatically.</t>
  </si>
  <si>
    <t>Important note</t>
  </si>
  <si>
    <t>These are sample QA scenarios for portfolio use and should be tailored to the exact casino platform build, jurisdiction rules, payment integrations, and enabled responsible-gaming controls in the target environment.</t>
  </si>
  <si>
    <t>Default status</t>
  </si>
  <si>
    <t>Not Run</t>
  </si>
  <si>
    <t>Default priority</t>
  </si>
  <si>
    <t>High</t>
  </si>
  <si>
    <t>Primary domain</t>
  </si>
  <si>
    <t>Casino Platform QA - Betting &amp; Game Flows</t>
  </si>
  <si>
    <t>Demo credentials</t>
  </si>
  <si>
    <t>Simulated Player: player01 / Demo123! | Simulated Admin: qa_admin / Admin123!</t>
  </si>
  <si>
    <t>Source Name</t>
  </si>
  <si>
    <t>Path / URL</t>
  </si>
  <si>
    <t>Use in this workbook</t>
  </si>
  <si>
    <t>Portfolio README</t>
  </si>
  <si>
    <t>../README.md</t>
  </si>
  <si>
    <t>Overview and scope for this simulated casino QA portfolio</t>
  </si>
  <si>
    <t>Test Strategy</t>
  </si>
  <si>
    <t>../test-strategy/test-approach.md</t>
  </si>
  <si>
    <t>Risk-based test approach and execution guidance</t>
  </si>
  <si>
    <t>Postman Collection</t>
  </si>
  <si>
    <t>../api-tests/postman-collections/casino-platform-qa.postman_collection.json</t>
  </si>
  <si>
    <t>API request examples aligned to these scenarios</t>
  </si>
  <si>
    <t>Sample Requests</t>
  </si>
  <si>
    <t>../api-tests/sample-requests.json</t>
  </si>
  <si>
    <t>Sample payloads aligned to wallet, betting, and compliance flows</t>
  </si>
  <si>
    <t>Casino Betting - QA Manual Test Case Tracker</t>
  </si>
  <si>
    <t>Manual QA test suite for casino betting and game settlement workflows using the same multi-tab execution-tracker structure as the user's prior OpenMRS-style portfolio trackers.</t>
  </si>
  <si>
    <t>Workbook Controls</t>
  </si>
  <si>
    <t>Default Status</t>
  </si>
  <si>
    <t>Default Priority</t>
  </si>
  <si>
    <t>Portfolio Owner</t>
  </si>
  <si>
    <t>Ramon Tan Jr.</t>
  </si>
  <si>
    <t>Primary Domain</t>
  </si>
  <si>
    <t>Module Coverage</t>
  </si>
  <si>
    <t>Module</t>
  </si>
  <si>
    <t>Sheet Name</t>
  </si>
  <si>
    <t>Total Cases</t>
  </si>
  <si>
    <t>High Priority</t>
  </si>
  <si>
    <t>Negative Cases</t>
  </si>
  <si>
    <t>Automation Candidates</t>
  </si>
  <si>
    <t>Player Access</t>
  </si>
  <si>
    <t>10_Player_Access</t>
  </si>
  <si>
    <t>Game Session &amp; Lobby</t>
  </si>
  <si>
    <t>20_Game_Session_Lobby</t>
  </si>
  <si>
    <t>Bet Placement</t>
  </si>
  <si>
    <t>30_Bet_Placement</t>
  </si>
  <si>
    <t>Settlement &amp; Payouts</t>
  </si>
  <si>
    <t>40_Settlement_Payouts</t>
  </si>
  <si>
    <t>Limits &amp; Error Handling</t>
  </si>
  <si>
    <t>50_Limits_Error_Handling</t>
  </si>
  <si>
    <t>Betting End-to-End</t>
  </si>
  <si>
    <t>60_Betting_E2E</t>
  </si>
  <si>
    <t>Total</t>
  </si>
  <si>
    <t>Execution Status</t>
  </si>
  <si>
    <t>Status</t>
  </si>
  <si>
    <t>Count</t>
  </si>
  <si>
    <t/>
  </si>
  <si>
    <t>Metric</t>
  </si>
  <si>
    <t>Value</t>
  </si>
  <si>
    <t>Total Test Cases</t>
  </si>
  <si>
    <t>Pass</t>
  </si>
  <si>
    <t>Executed Cases</t>
  </si>
  <si>
    <t>Fail</t>
  </si>
  <si>
    <t>Execution %</t>
  </si>
  <si>
    <t>Blocked</t>
  </si>
  <si>
    <t>Pass Rate</t>
  </si>
  <si>
    <t>Fail Rate</t>
  </si>
  <si>
    <t>Update the Status and Notes columns during execution. Summary KPIs and counts refresh automatically.</t>
  </si>
  <si>
    <t>TC_ID</t>
  </si>
  <si>
    <t>Scenario</t>
  </si>
  <si>
    <t>Preconditions</t>
  </si>
  <si>
    <t>Steps</t>
  </si>
  <si>
    <t>Test Data</t>
  </si>
  <si>
    <t>Expected Result</t>
  </si>
  <si>
    <t>Priority</t>
  </si>
  <si>
    <t>Type</t>
  </si>
  <si>
    <t>Automation Candidate</t>
  </si>
  <si>
    <t>Notes</t>
  </si>
  <si>
    <t>BET-AUTH-001</t>
  </si>
  <si>
    <t>Verified player can enter betting lobby after successful login</t>
  </si>
  <si>
    <t>Verified player account exists</t>
  </si>
  <si>
    <t>1. Log in
2. Open lobby</t>
  </si>
  <si>
    <t>verified player</t>
  </si>
  <si>
    <t>Lobby loads with permitted games and current wallet balance</t>
  </si>
  <si>
    <t>Critical</t>
  </si>
  <si>
    <t>Positive</t>
  </si>
  <si>
    <t>Yes</t>
  </si>
  <si>
    <t>Core entry path</t>
  </si>
  <si>
    <t>BET-AUTH-002</t>
  </si>
  <si>
    <t>Unverified or restricted player is blocked from restricted games</t>
  </si>
  <si>
    <t>Restricted player state exists</t>
  </si>
  <si>
    <t>1. Log in as restricted player
2. Attempt game entry</t>
  </si>
  <si>
    <t>restricted player account</t>
  </si>
  <si>
    <t>System blocks restricted access and shows controlled message</t>
  </si>
  <si>
    <t>Security</t>
  </si>
  <si>
    <t>Later</t>
  </si>
  <si>
    <t>Access restriction</t>
  </si>
  <si>
    <t>BET-AUTH-003</t>
  </si>
  <si>
    <t>Expired session redirects player to login before bet placement</t>
  </si>
  <si>
    <t>Authenticated session expires</t>
  </si>
  <si>
    <t>1. Stay idle until timeout
2. Attempt to place bet</t>
  </si>
  <si>
    <t>expired session</t>
  </si>
  <si>
    <t>Player is redirected to login and no bet is accepted</t>
  </si>
  <si>
    <t>Session expiry</t>
  </si>
  <si>
    <t>BET-AUTH-004</t>
  </si>
  <si>
    <t>Lobby does not expose unavailable games configured for another jurisdiction</t>
  </si>
  <si>
    <t>Game entitlement rules exist</t>
  </si>
  <si>
    <t>1. Review lobby as jurisdiction-limited player</t>
  </si>
  <si>
    <t>jurisdiction-limited profile</t>
  </si>
  <si>
    <t>Only allowed games are visible and unavailable ones are hidden or disabled</t>
  </si>
  <si>
    <t>Regression</t>
  </si>
  <si>
    <t>Jurisdiction filtering</t>
  </si>
  <si>
    <t>BET-AUTH-005</t>
  </si>
  <si>
    <t>Generic error is shown if lobby profile fetch fails</t>
  </si>
  <si>
    <t>Injected profile fetch failure exists</t>
  </si>
  <si>
    <t>1. Open lobby during simulated service error</t>
  </si>
  <si>
    <t>simulated profile service outage</t>
  </si>
  <si>
    <t>System shows controlled error and does not present partial or misleading game state</t>
  </si>
  <si>
    <t>Medium</t>
  </si>
  <si>
    <t>Negative</t>
  </si>
  <si>
    <t>Graceful degradation</t>
  </si>
  <si>
    <t>LOB-001</t>
  </si>
  <si>
    <t>Selecting a game launches a session with correct player context</t>
  </si>
  <si>
    <t>Player is logged in and game is available</t>
  </si>
  <si>
    <t>1. Select game
2. Wait for session launch</t>
  </si>
  <si>
    <t>available slot or table game</t>
  </si>
  <si>
    <t>Game session starts successfully with correct player and balance context</t>
  </si>
  <si>
    <t>Session launch</t>
  </si>
  <si>
    <t>LOB-002</t>
  </si>
  <si>
    <t>Launching game with insufficient funds still opens but blocks bet placement according to rules</t>
  </si>
  <si>
    <t>Player balance is below minimum bet</t>
  </si>
  <si>
    <t>1. Launch game
2. Attempt betting</t>
  </si>
  <si>
    <t>player balance below min bet</t>
  </si>
  <si>
    <t>Game loads and correctly prevents wagering beyond funds</t>
  </si>
  <si>
    <t>Low-funds behavior</t>
  </si>
  <si>
    <t>LOB-003</t>
  </si>
  <si>
    <t>Closed or maintenance game cannot be launched from lobby</t>
  </si>
  <si>
    <t>Target game is in maintenance</t>
  </si>
  <si>
    <t>1. View lobby
2. Attempt to open maintenance game</t>
  </si>
  <si>
    <t>maintenance game tile</t>
  </si>
  <si>
    <t>Game is unavailable and launch is blocked with clear status</t>
  </si>
  <si>
    <t>Maintenance state</t>
  </si>
  <si>
    <t>LOB-004</t>
  </si>
  <si>
    <t>Lobby refresh preserves latest balance after completed wallet activity</t>
  </si>
  <si>
    <t>Recent wallet update exists</t>
  </si>
  <si>
    <t>1. Deposit or settle game externally
2. Refresh lobby</t>
  </si>
  <si>
    <t>recent balance change</t>
  </si>
  <si>
    <t>Lobby reflects latest balance without requiring full re-login</t>
  </si>
  <si>
    <t>Integration</t>
  </si>
  <si>
    <t>Balance sync</t>
  </si>
  <si>
    <t>LOB-005</t>
  </si>
  <si>
    <t>Returning from a game to lobby preserves navigation and filters</t>
  </si>
  <si>
    <t>Player entered game from filtered lobby</t>
  </si>
  <si>
    <t>1. Filter lobby
2. Open game
3. Return to lobby</t>
  </si>
  <si>
    <t>filter by category/provider</t>
  </si>
  <si>
    <t>Lobby returns cleanly and previously selected filters remain usable</t>
  </si>
  <si>
    <t>Usability</t>
  </si>
  <si>
    <t>Navigation continuity</t>
  </si>
  <si>
    <t>BET-001</t>
  </si>
  <si>
    <t>Valid bet within limits is accepted and wallet is debited once</t>
  </si>
  <si>
    <t>Player has active session and sufficient balance</t>
  </si>
  <si>
    <t>1. Place valid bet
2. Review balance and bet slip</t>
  </si>
  <si>
    <t>€5 bet on valid game state</t>
  </si>
  <si>
    <t>Bet is accepted, wallet debits once, and bet reference is generated</t>
  </si>
  <si>
    <t>Core bet placement</t>
  </si>
  <si>
    <t>BET-002</t>
  </si>
  <si>
    <t>Bet exceeding available balance is rejected without wallet debit</t>
  </si>
  <si>
    <t>Player has insufficient balance</t>
  </si>
  <si>
    <t>1. Attempt oversized bet</t>
  </si>
  <si>
    <t>bet &gt; available balance</t>
  </si>
  <si>
    <t>System rejects bet and wallet balance remains unchanged</t>
  </si>
  <si>
    <t>Funds validation</t>
  </si>
  <si>
    <t>BET-003</t>
  </si>
  <si>
    <t>Bet exceeding configured table or game limit is blocked</t>
  </si>
  <si>
    <t>Game limit configuration exists</t>
  </si>
  <si>
    <t>1. Enter bet above max limit
2. Submit</t>
  </si>
  <si>
    <t>bet above table max</t>
  </si>
  <si>
    <t>System blocks bet with clear limit message</t>
  </si>
  <si>
    <t>Bet limit rule</t>
  </si>
  <si>
    <t>BET-004</t>
  </si>
  <si>
    <t>Duplicate submit or network retry does not create duplicate accepted bets</t>
  </si>
  <si>
    <t>Player is on active betting round</t>
  </si>
  <si>
    <t>1. Submit bet
2. Retry during latency or double-click</t>
  </si>
  <si>
    <t>repeated same bet payload</t>
  </si>
  <si>
    <t>At most one accepted bet exists for same request id</t>
  </si>
  <si>
    <t>Idempotent bet acceptance</t>
  </si>
  <si>
    <t>BET-005</t>
  </si>
  <si>
    <t>Bonus or promotional funds usage follows configured wagering rules</t>
  </si>
  <si>
    <t>Player has bonus balance</t>
  </si>
  <si>
    <t>1. Place eligible and ineligible bets
2. Review source of funds</t>
  </si>
  <si>
    <t>bonus wallet player</t>
  </si>
  <si>
    <t>System uses or blocks bonus funds according to configured rules</t>
  </si>
  <si>
    <t>Bonus fund handling</t>
  </si>
  <si>
    <t>BET-006</t>
  </si>
  <si>
    <t>Bet payload with invalid game state or stale round id is rejected</t>
  </si>
  <si>
    <t>Stale or manipulated round id available</t>
  </si>
  <si>
    <t>1. Submit bet with stale round id</t>
  </si>
  <si>
    <t>stale round id payload</t>
  </si>
  <si>
    <t>System rejects request and records controlled validation failure</t>
  </si>
  <si>
    <t>Round integrity</t>
  </si>
  <si>
    <t>SET-001</t>
  </si>
  <si>
    <t>Winning bet credits correct payout amount to wallet</t>
  </si>
  <si>
    <t>Accepted winning bet exists</t>
  </si>
  <si>
    <t>1. Settle winning round
2. Review balance and history</t>
  </si>
  <si>
    <t>winning odds / stake combo</t>
  </si>
  <si>
    <t>Wallet is credited with correct payout and transaction is logged</t>
  </si>
  <si>
    <t>Winning payout</t>
  </si>
  <si>
    <t>SET-002</t>
  </si>
  <si>
    <t>Losing bet does not credit wallet and final state is recorded correctly</t>
  </si>
  <si>
    <t>Accepted losing bet exists</t>
  </si>
  <si>
    <t>1. Settle losing round
2. Review balance and history</t>
  </si>
  <si>
    <t>losing round</t>
  </si>
  <si>
    <t>No payout is credited and bet record shows final lost status</t>
  </si>
  <si>
    <t>Losing settlement</t>
  </si>
  <si>
    <t>SET-003</t>
  </si>
  <si>
    <t>Cancelled or voided round restores staked amount exactly once</t>
  </si>
  <si>
    <t>Accepted bet exists and round voids</t>
  </si>
  <si>
    <t>1. Void round
2. Review wallet and bet history</t>
  </si>
  <si>
    <t>voided round</t>
  </si>
  <si>
    <t>Stake is returned exactly once with clear void reason</t>
  </si>
  <si>
    <t>Void handling</t>
  </si>
  <si>
    <t>SET-004</t>
  </si>
  <si>
    <t>Partial cash-out amount is calculated and applied correctly</t>
  </si>
  <si>
    <t>Game supports cash-out feature</t>
  </si>
  <si>
    <t>1. Place qualifying bet
2. Trigger partial cash-out</t>
  </si>
  <si>
    <t>qualifying cash-out scenario</t>
  </si>
  <si>
    <t>Wallet reflects configured partial payout and remaining exposure updates correctly</t>
  </si>
  <si>
    <t>Cash-out logic</t>
  </si>
  <si>
    <t>SET-005</t>
  </si>
  <si>
    <t>Late duplicate settlement message does not double-credit payout</t>
  </si>
  <si>
    <t>One settlement already completed</t>
  </si>
  <si>
    <t>1. Replay same settlement event
2. Review wallet and ledger</t>
  </si>
  <si>
    <t>duplicate settlement event</t>
  </si>
  <si>
    <t>System ignores or safely handles duplicate settlement without double credit</t>
  </si>
  <si>
    <t>Duplicate event handling</t>
  </si>
  <si>
    <t>SET-006</t>
  </si>
  <si>
    <t>Player history shows accepted, settled, and voided bet statuses accurately</t>
  </si>
  <si>
    <t>Mixed bet outcomes exist</t>
  </si>
  <si>
    <t>1. Open bet history
2. Review recent entries</t>
  </si>
  <si>
    <t>accepted/won/lost/voided bets</t>
  </si>
  <si>
    <t>Statuses, stake, payout, and timestamps are accurate for each round</t>
  </si>
  <si>
    <t>History accuracy</t>
  </si>
  <si>
    <t>LIM-001</t>
  </si>
  <si>
    <t>Session loss limit blocks further bets after threshold is reached</t>
  </si>
  <si>
    <t>Player account has configured loss limit</t>
  </si>
  <si>
    <t>1. Reach limit through settled losses
2. Attempt another bet</t>
  </si>
  <si>
    <t>player at loss limit</t>
  </si>
  <si>
    <t>System blocks additional bets and shows responsible-gaming limit message</t>
  </si>
  <si>
    <t>Loss limit enforcement</t>
  </si>
  <si>
    <t>LIM-002</t>
  </si>
  <si>
    <t>Round processing service error returns controlled message without wallet corruption</t>
  </si>
  <si>
    <t>Injected round-service failure exists</t>
  </si>
  <si>
    <t>1. Submit bet during simulated outage</t>
  </si>
  <si>
    <t>simulated round processing outage</t>
  </si>
  <si>
    <t>User sees controlled retry/error message and no inconsistent debit occurs</t>
  </si>
  <si>
    <t>Failure containment</t>
  </si>
  <si>
    <t>LIM-003</t>
  </si>
  <si>
    <t>Game session reconnect resumes safely after transient network drop</t>
  </si>
  <si>
    <t>Player has active session and network interruption is simulated</t>
  </si>
  <si>
    <t>1. Disconnect network briefly
2. Reconnect
3. Review session state</t>
  </si>
  <si>
    <t>transient disconnect</t>
  </si>
  <si>
    <t>Session recovers safely and player state remains consistent</t>
  </si>
  <si>
    <t>Reconnect behavior</t>
  </si>
  <si>
    <t>LIM-004</t>
  </si>
  <si>
    <t>Client-side tampering of stake payload is rejected by backend validation</t>
  </si>
  <si>
    <t>Manipulated client request is possible in test environment</t>
  </si>
  <si>
    <t>1. Modify payload amount before submit</t>
  </si>
  <si>
    <t>tampered stake payload</t>
  </si>
  <si>
    <t>Backend rejects tampered request and no unauthorized bet is accepted</t>
  </si>
  <si>
    <t>Server-side validation</t>
  </si>
  <si>
    <t>LIM-005</t>
  </si>
  <si>
    <t>Unexpected invalid action returns user-safe error instead of stack trace</t>
  </si>
  <si>
    <t>Unsupported workflow state is triggered</t>
  </si>
  <si>
    <t>1. Force invalid action
2. Observe response</t>
  </si>
  <si>
    <t>invalid workflow state</t>
  </si>
  <si>
    <t>System returns user-safe error and logs technical details internally</t>
  </si>
  <si>
    <t>Graceful error handling</t>
  </si>
  <si>
    <t>BET-E2E-001</t>
  </si>
  <si>
    <t>Login to game launch to accepted winning bet flow works end-to-end</t>
  </si>
  <si>
    <t>Verified funded player exists</t>
  </si>
  <si>
    <t>1. Log in
2. Open game
3. Place valid bet
4. Settle as win</t>
  </si>
  <si>
    <t>funded verified player / winning round</t>
  </si>
  <si>
    <t>Bet is accepted and payout is credited correctly across full workflow</t>
  </si>
  <si>
    <t>E2E</t>
  </si>
  <si>
    <t>Winning journey</t>
  </si>
  <si>
    <t>BET-E2E-002</t>
  </si>
  <si>
    <t>Login to bet rejection due to insufficient balance works end-to-end</t>
  </si>
  <si>
    <t>Low-balance player exists</t>
  </si>
  <si>
    <t>1. Log in
2. Open game
3. Attempt oversized bet</t>
  </si>
  <si>
    <t>low balance player</t>
  </si>
  <si>
    <t>System blocks bet cleanly and wallet remains unchanged end-to-end</t>
  </si>
  <si>
    <t>Insufficient funds journey</t>
  </si>
  <si>
    <t>BET-E2E-003</t>
  </si>
  <si>
    <t>Placed bet to voided settlement to refunded wallet flow works end-to-end</t>
  </si>
  <si>
    <t>Player has funded wallet and void scenario</t>
  </si>
  <si>
    <t>1. Place bet
2. Void round
3. Review history</t>
  </si>
  <si>
    <t>voided round flow</t>
  </si>
  <si>
    <t>Stake is returned once and histories remain consistent end-to-end</t>
  </si>
  <si>
    <t>Void lifecycle</t>
  </si>
  <si>
    <t>BET-E2E-004</t>
  </si>
  <si>
    <t>Responsible-gaming limit reached blocks new wagering end-to-end</t>
  </si>
  <si>
    <t>Player is near configured loss or session limit</t>
  </si>
  <si>
    <t>1. Reach limit
2. Attempt new bet</t>
  </si>
  <si>
    <t>player near responsible-gaming limit</t>
  </si>
  <si>
    <t>System blocks further wagering and records limit event end-to-end</t>
  </si>
  <si>
    <t>Limit enforcement journey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</si>
</sst>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i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8FB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5" borderId="1" xfId="0" applyFon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2" borderId="0" xfId="0" applyFont="1" applyFill="1" applyAlignment="1">
      <alignment horizontal="left"/>
    </xf>
    <xf numFmtId="0" fontId="3" fillId="3" borderId="0" xfId="0" applyFont="1" applyFill="1" applyAlignment="1">
      <alignment wrapText="1"/>
    </xf>
    <xf numFmtId="0" fontId="3" fillId="6" borderId="0" xfId="0" applyFont="1" applyFill="1" applyAlignment="1">
      <alignment wrapText="1"/>
    </xf>
  </cellXfs>
  <cellStyles count="1">
    <cellStyle name="Normal" xfId="0" builtinId="0"/>
  </cellStyles>
  <dxfs count="36"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30</xdr:row>
      <xdr:rowOff>91440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E19CA201-9DE0-200D-F56A-3E5F968CCE8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30</xdr:row>
      <xdr:rowOff>91440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4B4CC846-E7BA-8087-DE59-D7593ACDF44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28</xdr:row>
      <xdr:rowOff>106680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C3DA6C03-0275-81A0-E52F-4105BFD8928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28</xdr:row>
      <xdr:rowOff>106680</xdr:rowOff>
    </xdr:to>
    <xdr:sp macro="" textlink="">
      <xdr:nvSpPr>
        <xdr:cNvPr id="4099" name="Text Box 3" hidden="1">
          <a:extLst>
            <a:ext uri="{FF2B5EF4-FFF2-40B4-BE49-F238E27FC236}">
              <a16:creationId xmlns:a16="http://schemas.microsoft.com/office/drawing/2014/main" id="{836EA0F6-93FB-C5FD-909F-748341A47C8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30</xdr:row>
      <xdr:rowOff>91440</xdr:rowOff>
    </xdr:to>
    <xdr:sp macro="" textlink="">
      <xdr:nvSpPr>
        <xdr:cNvPr id="5123" name="Text Box 3" hidden="1">
          <a:extLst>
            <a:ext uri="{FF2B5EF4-FFF2-40B4-BE49-F238E27FC236}">
              <a16:creationId xmlns:a16="http://schemas.microsoft.com/office/drawing/2014/main" id="{BA4C301B-3491-D8D1-5E4E-65AC2CF1051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32</xdr:row>
      <xdr:rowOff>76200</xdr:rowOff>
    </xdr:to>
    <xdr:sp macro="" textlink="">
      <xdr:nvSpPr>
        <xdr:cNvPr id="6147" name="Text Box 3" hidden="1">
          <a:extLst>
            <a:ext uri="{FF2B5EF4-FFF2-40B4-BE49-F238E27FC236}">
              <a16:creationId xmlns:a16="http://schemas.microsoft.com/office/drawing/2014/main" id="{47EDC8C6-6DC5-8CE6-F492-3F6962FF253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workbookViewId="0">
      <selection sqref="A1:C1"/>
    </sheetView>
  </sheetViews>
  <sheetFormatPr defaultRowHeight="14.4" x14ac:dyDescent="0.3"/>
  <cols>
    <col min="1" max="1" width="24" customWidth="1"/>
    <col min="2" max="2" width="50" customWidth="1"/>
    <col min="3" max="3" width="48" customWidth="1"/>
  </cols>
  <sheetData>
    <row r="1" spans="1:3" ht="22.05" customHeight="1" x14ac:dyDescent="0.3">
      <c r="A1" s="10" t="s">
        <v>0</v>
      </c>
      <c r="B1" s="11"/>
      <c r="C1" s="11"/>
    </row>
    <row r="3" spans="1:3" ht="57.6" x14ac:dyDescent="0.3">
      <c r="A3" s="1" t="s">
        <v>1</v>
      </c>
      <c r="B3" s="2" t="s">
        <v>2</v>
      </c>
    </row>
    <row r="4" spans="1:3" ht="43.2" x14ac:dyDescent="0.3">
      <c r="A4" s="1" t="s">
        <v>3</v>
      </c>
      <c r="B4" s="2" t="s">
        <v>4</v>
      </c>
    </row>
    <row r="5" spans="1:3" ht="57.6" x14ac:dyDescent="0.3">
      <c r="A5" s="1" t="s">
        <v>5</v>
      </c>
      <c r="B5" s="2" t="s">
        <v>6</v>
      </c>
    </row>
    <row r="6" spans="1:3" x14ac:dyDescent="0.3">
      <c r="A6" s="1" t="s">
        <v>7</v>
      </c>
      <c r="B6" s="2" t="s">
        <v>8</v>
      </c>
    </row>
    <row r="7" spans="1:3" x14ac:dyDescent="0.3">
      <c r="A7" s="1" t="s">
        <v>9</v>
      </c>
      <c r="B7" s="2" t="s">
        <v>10</v>
      </c>
    </row>
    <row r="8" spans="1:3" x14ac:dyDescent="0.3">
      <c r="A8" s="1" t="s">
        <v>11</v>
      </c>
      <c r="B8" s="2" t="s">
        <v>12</v>
      </c>
    </row>
    <row r="9" spans="1:3" ht="28.8" x14ac:dyDescent="0.3">
      <c r="A9" s="1" t="s">
        <v>13</v>
      </c>
      <c r="B9" s="2" t="s">
        <v>14</v>
      </c>
    </row>
    <row r="11" spans="1:3" ht="28.05" customHeight="1" x14ac:dyDescent="0.3">
      <c r="A11" s="3" t="s">
        <v>15</v>
      </c>
      <c r="B11" s="3" t="s">
        <v>16</v>
      </c>
      <c r="C11" s="3" t="s">
        <v>17</v>
      </c>
    </row>
    <row r="12" spans="1:3" ht="28.8" x14ac:dyDescent="0.3">
      <c r="A12" s="2" t="s">
        <v>18</v>
      </c>
      <c r="B12" s="2" t="s">
        <v>19</v>
      </c>
      <c r="C12" s="2" t="s">
        <v>20</v>
      </c>
    </row>
    <row r="13" spans="1:3" x14ac:dyDescent="0.3">
      <c r="A13" s="2" t="s">
        <v>21</v>
      </c>
      <c r="B13" s="2" t="s">
        <v>22</v>
      </c>
      <c r="C13" s="2" t="s">
        <v>23</v>
      </c>
    </row>
    <row r="14" spans="1:3" ht="28.8" x14ac:dyDescent="0.3">
      <c r="A14" s="2" t="s">
        <v>24</v>
      </c>
      <c r="B14" s="2" t="s">
        <v>25</v>
      </c>
      <c r="C14" s="2" t="s">
        <v>26</v>
      </c>
    </row>
    <row r="15" spans="1:3" ht="28.8" x14ac:dyDescent="0.3">
      <c r="A15" s="2" t="s">
        <v>27</v>
      </c>
      <c r="B15" s="2" t="s">
        <v>28</v>
      </c>
      <c r="C15" s="2" t="s">
        <v>29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showGridLines="0" workbookViewId="0">
      <selection sqref="A1:F1"/>
    </sheetView>
  </sheetViews>
  <sheetFormatPr defaultRowHeight="14.4" x14ac:dyDescent="0.3"/>
  <cols>
    <col min="1" max="2" width="26" customWidth="1"/>
    <col min="3" max="3" width="10" customWidth="1"/>
    <col min="4" max="4" width="22" customWidth="1"/>
    <col min="5" max="5" width="14" customWidth="1"/>
    <col min="6" max="6" width="18" customWidth="1"/>
  </cols>
  <sheetData>
    <row r="1" spans="1:6" ht="22.05" customHeight="1" x14ac:dyDescent="0.3">
      <c r="A1" s="10" t="s">
        <v>30</v>
      </c>
      <c r="B1" s="11"/>
      <c r="C1" s="11"/>
      <c r="D1" s="11"/>
      <c r="E1" s="11"/>
      <c r="F1" s="11"/>
    </row>
    <row r="3" spans="1:6" ht="37.950000000000003" customHeight="1" x14ac:dyDescent="0.3">
      <c r="A3" s="13" t="s">
        <v>31</v>
      </c>
      <c r="B3" s="11"/>
      <c r="C3" s="11"/>
      <c r="D3" s="11"/>
      <c r="E3" s="11"/>
      <c r="F3" s="11"/>
    </row>
    <row r="5" spans="1:6" x14ac:dyDescent="0.3">
      <c r="A5" s="12" t="s">
        <v>32</v>
      </c>
      <c r="B5" s="11"/>
      <c r="C5" s="11"/>
      <c r="D5" s="11"/>
      <c r="E5" s="11"/>
      <c r="F5" s="11"/>
    </row>
    <row r="6" spans="1:6" x14ac:dyDescent="0.3">
      <c r="A6" s="4" t="s">
        <v>33</v>
      </c>
      <c r="B6" s="5" t="s">
        <v>8</v>
      </c>
    </row>
    <row r="7" spans="1:6" x14ac:dyDescent="0.3">
      <c r="A7" s="4" t="s">
        <v>34</v>
      </c>
      <c r="B7" s="5" t="s">
        <v>10</v>
      </c>
    </row>
    <row r="8" spans="1:6" x14ac:dyDescent="0.3">
      <c r="A8" s="4" t="s">
        <v>35</v>
      </c>
      <c r="B8" s="5" t="s">
        <v>36</v>
      </c>
    </row>
    <row r="9" spans="1:6" ht="28.8" x14ac:dyDescent="0.3">
      <c r="A9" s="4" t="s">
        <v>37</v>
      </c>
      <c r="B9" s="5" t="s">
        <v>12</v>
      </c>
    </row>
    <row r="11" spans="1:6" x14ac:dyDescent="0.3">
      <c r="A11" s="12" t="s">
        <v>38</v>
      </c>
      <c r="B11" s="11"/>
      <c r="C11" s="11"/>
      <c r="D11" s="11"/>
      <c r="E11" s="11"/>
      <c r="F11" s="11"/>
    </row>
    <row r="12" spans="1:6" ht="28.05" customHeight="1" x14ac:dyDescent="0.3">
      <c r="A12" s="3" t="s">
        <v>39</v>
      </c>
      <c r="B12" s="3" t="s">
        <v>40</v>
      </c>
      <c r="C12" s="3" t="s">
        <v>41</v>
      </c>
      <c r="D12" s="3" t="s">
        <v>42</v>
      </c>
      <c r="E12" s="3" t="s">
        <v>43</v>
      </c>
      <c r="F12" s="3" t="s">
        <v>44</v>
      </c>
    </row>
    <row r="13" spans="1:6" x14ac:dyDescent="0.3">
      <c r="A13" s="6" t="s">
        <v>45</v>
      </c>
      <c r="B13" s="6" t="s">
        <v>46</v>
      </c>
      <c r="C13" s="6">
        <f>COUNTA('10_Player_Access'!A:A)-2</f>
        <v>5</v>
      </c>
      <c r="D13" s="6">
        <f>COUNTIF('10_Player_Access'!H:H,"Critical")+COUNTIF('10_Player_Access'!H:H,"High")</f>
        <v>4</v>
      </c>
      <c r="E13" s="6">
        <f>COUNTIF('10_Player_Access'!I:I,"Negative")</f>
        <v>1</v>
      </c>
      <c r="F13" s="6">
        <f>COUNTIF('10_Player_Access'!J:J,"Yes")</f>
        <v>1</v>
      </c>
    </row>
    <row r="14" spans="1:6" x14ac:dyDescent="0.3">
      <c r="A14" s="6" t="s">
        <v>47</v>
      </c>
      <c r="B14" s="6" t="s">
        <v>48</v>
      </c>
      <c r="C14" s="6">
        <f>COUNTA('20_Game_Session_Lobby'!A:A)-2</f>
        <v>5</v>
      </c>
      <c r="D14" s="6">
        <f>COUNTIF('20_Game_Session_Lobby'!H:H,"Critical")+COUNTIF('20_Game_Session_Lobby'!H:H,"High")</f>
        <v>4</v>
      </c>
      <c r="E14" s="6">
        <f>COUNTIF('20_Game_Session_Lobby'!I:I,"Negative")</f>
        <v>1</v>
      </c>
      <c r="F14" s="6">
        <f>COUNTIF('20_Game_Session_Lobby'!J:J,"Yes")</f>
        <v>2</v>
      </c>
    </row>
    <row r="15" spans="1:6" x14ac:dyDescent="0.3">
      <c r="A15" s="6" t="s">
        <v>49</v>
      </c>
      <c r="B15" s="6" t="s">
        <v>50</v>
      </c>
      <c r="C15" s="6">
        <f>COUNTA('30_Bet_Placement'!A:A)-2</f>
        <v>6</v>
      </c>
      <c r="D15" s="6">
        <f>COUNTIF('30_Bet_Placement'!H:H,"Critical")+COUNTIF('30_Bet_Placement'!H:H,"High")</f>
        <v>6</v>
      </c>
      <c r="E15" s="6">
        <f>COUNTIF('30_Bet_Placement'!I:I,"Negative")</f>
        <v>2</v>
      </c>
      <c r="F15" s="6">
        <f>COUNTIF('30_Bet_Placement'!J:J,"Yes")</f>
        <v>3</v>
      </c>
    </row>
    <row r="16" spans="1:6" x14ac:dyDescent="0.3">
      <c r="A16" s="6" t="s">
        <v>51</v>
      </c>
      <c r="B16" s="6" t="s">
        <v>52</v>
      </c>
      <c r="C16" s="6">
        <f>COUNTA('40_Settlement_Payouts'!A:A)-2</f>
        <v>6</v>
      </c>
      <c r="D16" s="6">
        <f>COUNTIF('40_Settlement_Payouts'!H:H,"Critical")+COUNTIF('40_Settlement_Payouts'!H:H,"High")</f>
        <v>6</v>
      </c>
      <c r="E16" s="6">
        <f>COUNTIF('40_Settlement_Payouts'!I:I,"Negative")</f>
        <v>1</v>
      </c>
      <c r="F16" s="6">
        <f>COUNTIF('40_Settlement_Payouts'!J:J,"Yes")</f>
        <v>2</v>
      </c>
    </row>
    <row r="17" spans="1:6" x14ac:dyDescent="0.3">
      <c r="A17" s="6" t="s">
        <v>53</v>
      </c>
      <c r="B17" s="6" t="s">
        <v>54</v>
      </c>
      <c r="C17" s="6">
        <f>COUNTA('50_Limits_Error_Handling'!A:A)-2</f>
        <v>5</v>
      </c>
      <c r="D17" s="6">
        <f>COUNTIF('50_Limits_Error_Handling'!H:H,"Critical")+COUNTIF('50_Limits_Error_Handling'!H:H,"High")</f>
        <v>5</v>
      </c>
      <c r="E17" s="6">
        <f>COUNTIF('50_Limits_Error_Handling'!I:I,"Negative")</f>
        <v>2</v>
      </c>
      <c r="F17" s="6">
        <f>COUNTIF('50_Limits_Error_Handling'!J:J,"Yes")</f>
        <v>1</v>
      </c>
    </row>
    <row r="18" spans="1:6" x14ac:dyDescent="0.3">
      <c r="A18" s="6" t="s">
        <v>55</v>
      </c>
      <c r="B18" s="6" t="s">
        <v>56</v>
      </c>
      <c r="C18" s="6">
        <f>COUNTA('60_Betting_E2E'!A:A)-2</f>
        <v>4</v>
      </c>
      <c r="D18" s="6">
        <f>COUNTIF('60_Betting_E2E'!H:H,"Critical")+COUNTIF('60_Betting_E2E'!H:H,"High")</f>
        <v>4</v>
      </c>
      <c r="E18" s="6">
        <f>COUNTIF('60_Betting_E2E'!I:I,"Negative")</f>
        <v>0</v>
      </c>
      <c r="F18" s="6">
        <f>COUNTIF('60_Betting_E2E'!J:J,"Yes")</f>
        <v>0</v>
      </c>
    </row>
    <row r="19" spans="1:6" x14ac:dyDescent="0.3">
      <c r="A19" s="7" t="s">
        <v>57</v>
      </c>
      <c r="B19" s="7"/>
      <c r="C19" s="7">
        <f>SUM(C13:C18)</f>
        <v>31</v>
      </c>
      <c r="D19" s="7">
        <f>SUM(D13:D18)</f>
        <v>29</v>
      </c>
      <c r="E19" s="7">
        <f>SUM(E13:E18)</f>
        <v>7</v>
      </c>
      <c r="F19" s="7">
        <f>SUM(F13:F18)</f>
        <v>9</v>
      </c>
    </row>
    <row r="22" spans="1:6" x14ac:dyDescent="0.3">
      <c r="A22" s="12" t="s">
        <v>58</v>
      </c>
      <c r="B22" s="11"/>
      <c r="C22" s="11"/>
      <c r="D22" s="11"/>
      <c r="E22" s="11"/>
      <c r="F22" s="11"/>
    </row>
    <row r="23" spans="1:6" ht="28.05" customHeight="1" x14ac:dyDescent="0.3">
      <c r="A23" s="3" t="s">
        <v>59</v>
      </c>
      <c r="B23" s="3" t="s">
        <v>60</v>
      </c>
      <c r="C23" s="3" t="s">
        <v>61</v>
      </c>
      <c r="D23" s="3" t="s">
        <v>62</v>
      </c>
      <c r="E23" s="3" t="s">
        <v>63</v>
      </c>
    </row>
    <row r="24" spans="1:6" x14ac:dyDescent="0.3">
      <c r="A24" s="8" t="s">
        <v>8</v>
      </c>
      <c r="B24" s="8">
        <f>COUNTIF('10_Player_Access'!K:K,"Not Run")+COUNTIF('20_Game_Session_Lobby'!K:K,"Not Run")+COUNTIF('30_Bet_Placement'!K:K,"Not Run")+COUNTIF('40_Settlement_Payouts'!K:K,"Not Run")+COUNTIF('50_Limits_Error_Handling'!K:K,"Not Run")+COUNTIF('60_Betting_E2E'!K:K,"Not Run")</f>
        <v>31</v>
      </c>
      <c r="D24" s="8" t="s">
        <v>64</v>
      </c>
      <c r="E24" s="8">
        <f>C19</f>
        <v>31</v>
      </c>
    </row>
    <row r="25" spans="1:6" x14ac:dyDescent="0.3">
      <c r="A25" s="8" t="s">
        <v>65</v>
      </c>
      <c r="B25" s="8">
        <f>COUNTIF('10_Player_Access'!K:K,"Pass")+COUNTIF('20_Game_Session_Lobby'!K:K,"Pass")+COUNTIF('30_Bet_Placement'!K:K,"Pass")+COUNTIF('40_Settlement_Payouts'!K:K,"Pass")+COUNTIF('50_Limits_Error_Handling'!K:K,"Pass")+COUNTIF('60_Betting_E2E'!K:K,"Pass")</f>
        <v>0</v>
      </c>
      <c r="D25" s="8" t="s">
        <v>66</v>
      </c>
      <c r="E25" s="8">
        <f>SUM(B25:B27)</f>
        <v>0</v>
      </c>
    </row>
    <row r="26" spans="1:6" x14ac:dyDescent="0.3">
      <c r="A26" s="8" t="s">
        <v>67</v>
      </c>
      <c r="B26" s="8">
        <f>COUNTIF('10_Player_Access'!K:K,"Fail")+COUNTIF('20_Game_Session_Lobby'!K:K,"Fail")+COUNTIF('30_Bet_Placement'!K:K,"Fail")+COUNTIF('40_Settlement_Payouts'!K:K,"Fail")+COUNTIF('50_Limits_Error_Handling'!K:K,"Fail")+COUNTIF('60_Betting_E2E'!K:K,"Fail")</f>
        <v>0</v>
      </c>
      <c r="D26" s="8" t="s">
        <v>68</v>
      </c>
      <c r="E26" s="9">
        <f>IFERROR(E25/E24,0)</f>
        <v>0</v>
      </c>
    </row>
    <row r="27" spans="1:6" x14ac:dyDescent="0.3">
      <c r="A27" s="8" t="s">
        <v>69</v>
      </c>
      <c r="B27" s="8">
        <f>COUNTIF('10_Player_Access'!K:K,"Blocked")+COUNTIF('20_Game_Session_Lobby'!K:K,"Blocked")+COUNTIF('30_Bet_Placement'!K:K,"Blocked")+COUNTIF('40_Settlement_Payouts'!K:K,"Blocked")+COUNTIF('50_Limits_Error_Handling'!K:K,"Blocked")+COUNTIF('60_Betting_E2E'!K:K,"Blocked")</f>
        <v>0</v>
      </c>
      <c r="D27" s="8" t="s">
        <v>70</v>
      </c>
      <c r="E27" s="9">
        <f>IFERROR(B25/E25,0)</f>
        <v>0</v>
      </c>
    </row>
    <row r="28" spans="1:6" x14ac:dyDescent="0.3">
      <c r="D28" s="8" t="s">
        <v>71</v>
      </c>
      <c r="E28" s="9">
        <f>IFERROR(B26/E25,0)</f>
        <v>0</v>
      </c>
    </row>
  </sheetData>
  <mergeCells count="5">
    <mergeCell ref="A11:F11"/>
    <mergeCell ref="A1:F1"/>
    <mergeCell ref="A5:F5"/>
    <mergeCell ref="A22:F22"/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showGridLines="0" topLeftCell="D1" workbookViewId="0">
      <selection sqref="A1:XFD1048576"/>
    </sheetView>
  </sheetViews>
  <sheetFormatPr defaultRowHeight="14.4" x14ac:dyDescent="0.3"/>
  <cols>
    <col min="1" max="1" width="13.21875" bestFit="1" customWidth="1"/>
    <col min="2" max="2" width="12.44140625" bestFit="1" customWidth="1"/>
    <col min="3" max="3" width="48" customWidth="1"/>
    <col min="4" max="4" width="31.33203125" bestFit="1" customWidth="1"/>
    <col min="5" max="5" width="37.77734375" bestFit="1" customWidth="1"/>
    <col min="6" max="6" width="29.44140625" bestFit="1" customWidth="1"/>
    <col min="7" max="7" width="42.77734375" bestFit="1" customWidth="1"/>
    <col min="8" max="8" width="8.21875" bestFit="1" customWidth="1"/>
    <col min="9" max="9" width="10.44140625" bestFit="1" customWidth="1"/>
    <col min="10" max="10" width="20.77734375" bestFit="1" customWidth="1"/>
    <col min="11" max="11" width="7.88671875" bestFit="1" customWidth="1"/>
    <col min="12" max="12" width="19.3320312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83</v>
      </c>
      <c r="B3" s="6" t="s">
        <v>45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88</v>
      </c>
      <c r="H3" s="6" t="s">
        <v>89</v>
      </c>
      <c r="I3" s="6" t="s">
        <v>90</v>
      </c>
      <c r="J3" s="6" t="s">
        <v>91</v>
      </c>
      <c r="K3" s="6" t="s">
        <v>8</v>
      </c>
      <c r="L3" s="6" t="s">
        <v>92</v>
      </c>
    </row>
    <row r="4" spans="1:12" ht="42" customHeight="1" x14ac:dyDescent="0.3">
      <c r="A4" s="6" t="s">
        <v>93</v>
      </c>
      <c r="B4" s="6" t="s">
        <v>45</v>
      </c>
      <c r="C4" s="6" t="s">
        <v>94</v>
      </c>
      <c r="D4" s="6" t="s">
        <v>95</v>
      </c>
      <c r="E4" s="6" t="s">
        <v>96</v>
      </c>
      <c r="F4" s="6" t="s">
        <v>97</v>
      </c>
      <c r="G4" s="6" t="s">
        <v>98</v>
      </c>
      <c r="H4" s="6" t="s">
        <v>89</v>
      </c>
      <c r="I4" s="6" t="s">
        <v>99</v>
      </c>
      <c r="J4" s="6" t="s">
        <v>100</v>
      </c>
      <c r="K4" s="6" t="s">
        <v>8</v>
      </c>
      <c r="L4" s="6" t="s">
        <v>101</v>
      </c>
    </row>
    <row r="5" spans="1:12" ht="42" customHeight="1" x14ac:dyDescent="0.3">
      <c r="A5" s="6" t="s">
        <v>102</v>
      </c>
      <c r="B5" s="6" t="s">
        <v>45</v>
      </c>
      <c r="C5" s="6" t="s">
        <v>103</v>
      </c>
      <c r="D5" s="6" t="s">
        <v>104</v>
      </c>
      <c r="E5" s="6" t="s">
        <v>105</v>
      </c>
      <c r="F5" s="6" t="s">
        <v>106</v>
      </c>
      <c r="G5" s="6" t="s">
        <v>107</v>
      </c>
      <c r="H5" s="6" t="s">
        <v>10</v>
      </c>
      <c r="I5" s="6" t="s">
        <v>99</v>
      </c>
      <c r="J5" s="6" t="s">
        <v>100</v>
      </c>
      <c r="K5" s="6" t="s">
        <v>8</v>
      </c>
      <c r="L5" s="6" t="s">
        <v>108</v>
      </c>
    </row>
    <row r="6" spans="1:12" ht="42" customHeight="1" x14ac:dyDescent="0.3">
      <c r="A6" s="6" t="s">
        <v>109</v>
      </c>
      <c r="B6" s="6" t="s">
        <v>45</v>
      </c>
      <c r="C6" s="6" t="s">
        <v>110</v>
      </c>
      <c r="D6" s="6" t="s">
        <v>111</v>
      </c>
      <c r="E6" s="6" t="s">
        <v>112</v>
      </c>
      <c r="F6" s="6" t="s">
        <v>113</v>
      </c>
      <c r="G6" s="6" t="s">
        <v>114</v>
      </c>
      <c r="H6" s="6" t="s">
        <v>10</v>
      </c>
      <c r="I6" s="6" t="s">
        <v>115</v>
      </c>
      <c r="J6" s="6" t="s">
        <v>100</v>
      </c>
      <c r="K6" s="6" t="s">
        <v>8</v>
      </c>
      <c r="L6" s="6" t="s">
        <v>116</v>
      </c>
    </row>
    <row r="7" spans="1:12" ht="42" customHeight="1" x14ac:dyDescent="0.3">
      <c r="A7" s="6" t="s">
        <v>117</v>
      </c>
      <c r="B7" s="6" t="s">
        <v>45</v>
      </c>
      <c r="C7" s="6" t="s">
        <v>118</v>
      </c>
      <c r="D7" s="6" t="s">
        <v>119</v>
      </c>
      <c r="E7" s="6" t="s">
        <v>120</v>
      </c>
      <c r="F7" s="6" t="s">
        <v>121</v>
      </c>
      <c r="G7" s="6" t="s">
        <v>122</v>
      </c>
      <c r="H7" s="6" t="s">
        <v>123</v>
      </c>
      <c r="I7" s="6" t="s">
        <v>124</v>
      </c>
      <c r="J7" s="6" t="s">
        <v>100</v>
      </c>
      <c r="K7" s="6" t="s">
        <v>8</v>
      </c>
      <c r="L7" s="6" t="s">
        <v>125</v>
      </c>
    </row>
  </sheetData>
  <mergeCells count="1">
    <mergeCell ref="A1:L1"/>
  </mergeCells>
  <conditionalFormatting sqref="H3:H7">
    <cfRule type="expression" dxfId="35" priority="5">
      <formula>H3="Critical"</formula>
    </cfRule>
    <cfRule type="expression" dxfId="34" priority="6">
      <formula>H3="High"</formula>
    </cfRule>
  </conditionalFormatting>
  <conditionalFormatting sqref="K3:K7">
    <cfRule type="expression" dxfId="33" priority="1">
      <formula>K3="Pass"</formula>
    </cfRule>
    <cfRule type="expression" dxfId="32" priority="2">
      <formula>K3="Fail"</formula>
    </cfRule>
    <cfRule type="expression" dxfId="31" priority="3">
      <formula>K3="Blocked"</formula>
    </cfRule>
    <cfRule type="expression" dxfId="30" priority="4">
      <formula>K3="Not Run"</formula>
    </cfRule>
  </conditionalFormatting>
  <dataValidations count="4">
    <dataValidation type="list" sqref="K3:K7" xr:uid="{00000000-0002-0000-0200-000000000000}">
      <formula1>"Not Run,Pass,Fail,Blocked"</formula1>
    </dataValidation>
    <dataValidation type="list" sqref="H3:H7" xr:uid="{00000000-0002-0000-0200-000001000000}">
      <formula1>"Critical,High,Medium,Low"</formula1>
    </dataValidation>
    <dataValidation type="list" sqref="I3:I7" xr:uid="{00000000-0002-0000-0200-000002000000}">
      <formula1>"Positive,Negative,Regression,Integration,Security,Usability,E2E"</formula1>
    </dataValidation>
    <dataValidation type="list" sqref="J3:J7" xr:uid="{00000000-0002-0000-02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showGridLines="0" workbookViewId="0">
      <selection activeCell="D19" sqref="A1:XFD1048576"/>
    </sheetView>
  </sheetViews>
  <sheetFormatPr defaultRowHeight="14.4" x14ac:dyDescent="0.3"/>
  <cols>
    <col min="1" max="1" width="8" bestFit="1" customWidth="1"/>
    <col min="2" max="2" width="20.5546875" bestFit="1" customWidth="1"/>
    <col min="3" max="3" width="47.6640625" bestFit="1" customWidth="1"/>
    <col min="4" max="4" width="34" customWidth="1"/>
    <col min="5" max="5" width="34.88671875" bestFit="1" customWidth="1"/>
    <col min="6" max="6" width="26.88671875" bestFit="1" customWidth="1"/>
    <col min="7" max="7" width="43.77734375" bestFit="1" customWidth="1"/>
    <col min="8" max="8" width="8.21875" bestFit="1" customWidth="1"/>
    <col min="9" max="9" width="10.5546875" bestFit="1" customWidth="1"/>
    <col min="10" max="10" width="20.77734375" bestFit="1" customWidth="1"/>
    <col min="11" max="11" width="7.88671875" bestFit="1" customWidth="1"/>
    <col min="12" max="12" width="19.664062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126</v>
      </c>
      <c r="B3" s="6" t="s">
        <v>47</v>
      </c>
      <c r="C3" s="6" t="s">
        <v>127</v>
      </c>
      <c r="D3" s="6" t="s">
        <v>128</v>
      </c>
      <c r="E3" s="6" t="s">
        <v>129</v>
      </c>
      <c r="F3" s="6" t="s">
        <v>130</v>
      </c>
      <c r="G3" s="6" t="s">
        <v>131</v>
      </c>
      <c r="H3" s="6" t="s">
        <v>89</v>
      </c>
      <c r="I3" s="6" t="s">
        <v>90</v>
      </c>
      <c r="J3" s="6" t="s">
        <v>91</v>
      </c>
      <c r="K3" s="6" t="s">
        <v>8</v>
      </c>
      <c r="L3" s="6" t="s">
        <v>132</v>
      </c>
    </row>
    <row r="4" spans="1:12" ht="42" customHeight="1" x14ac:dyDescent="0.3">
      <c r="A4" s="6" t="s">
        <v>133</v>
      </c>
      <c r="B4" s="6" t="s">
        <v>47</v>
      </c>
      <c r="C4" s="6" t="s">
        <v>134</v>
      </c>
      <c r="D4" s="6" t="s">
        <v>135</v>
      </c>
      <c r="E4" s="6" t="s">
        <v>136</v>
      </c>
      <c r="F4" s="6" t="s">
        <v>137</v>
      </c>
      <c r="G4" s="6" t="s">
        <v>138</v>
      </c>
      <c r="H4" s="6" t="s">
        <v>10</v>
      </c>
      <c r="I4" s="6" t="s">
        <v>115</v>
      </c>
      <c r="J4" s="6" t="s">
        <v>100</v>
      </c>
      <c r="K4" s="6" t="s">
        <v>8</v>
      </c>
      <c r="L4" s="6" t="s">
        <v>139</v>
      </c>
    </row>
    <row r="5" spans="1:12" ht="42" customHeight="1" x14ac:dyDescent="0.3">
      <c r="A5" s="6" t="s">
        <v>140</v>
      </c>
      <c r="B5" s="6" t="s">
        <v>47</v>
      </c>
      <c r="C5" s="6" t="s">
        <v>141</v>
      </c>
      <c r="D5" s="6" t="s">
        <v>142</v>
      </c>
      <c r="E5" s="6" t="s">
        <v>143</v>
      </c>
      <c r="F5" s="6" t="s">
        <v>144</v>
      </c>
      <c r="G5" s="6" t="s">
        <v>145</v>
      </c>
      <c r="H5" s="6" t="s">
        <v>10</v>
      </c>
      <c r="I5" s="6" t="s">
        <v>124</v>
      </c>
      <c r="J5" s="6" t="s">
        <v>91</v>
      </c>
      <c r="K5" s="6" t="s">
        <v>8</v>
      </c>
      <c r="L5" s="6" t="s">
        <v>146</v>
      </c>
    </row>
    <row r="6" spans="1:12" ht="42" customHeight="1" x14ac:dyDescent="0.3">
      <c r="A6" s="6" t="s">
        <v>147</v>
      </c>
      <c r="B6" s="6" t="s">
        <v>47</v>
      </c>
      <c r="C6" s="6" t="s">
        <v>148</v>
      </c>
      <c r="D6" s="6" t="s">
        <v>149</v>
      </c>
      <c r="E6" s="6" t="s">
        <v>150</v>
      </c>
      <c r="F6" s="6" t="s">
        <v>151</v>
      </c>
      <c r="G6" s="6" t="s">
        <v>152</v>
      </c>
      <c r="H6" s="6" t="s">
        <v>10</v>
      </c>
      <c r="I6" s="6" t="s">
        <v>153</v>
      </c>
      <c r="J6" s="6" t="s">
        <v>100</v>
      </c>
      <c r="K6" s="6" t="s">
        <v>8</v>
      </c>
      <c r="L6" s="6" t="s">
        <v>154</v>
      </c>
    </row>
    <row r="7" spans="1:12" ht="42" customHeight="1" x14ac:dyDescent="0.3">
      <c r="A7" s="6" t="s">
        <v>155</v>
      </c>
      <c r="B7" s="6" t="s">
        <v>47</v>
      </c>
      <c r="C7" s="6" t="s">
        <v>156</v>
      </c>
      <c r="D7" s="6" t="s">
        <v>157</v>
      </c>
      <c r="E7" s="6" t="s">
        <v>158</v>
      </c>
      <c r="F7" s="6" t="s">
        <v>159</v>
      </c>
      <c r="G7" s="6" t="s">
        <v>160</v>
      </c>
      <c r="H7" s="6" t="s">
        <v>123</v>
      </c>
      <c r="I7" s="6" t="s">
        <v>161</v>
      </c>
      <c r="J7" s="6" t="s">
        <v>100</v>
      </c>
      <c r="K7" s="6" t="s">
        <v>8</v>
      </c>
      <c r="L7" s="6" t="s">
        <v>162</v>
      </c>
    </row>
  </sheetData>
  <mergeCells count="1">
    <mergeCell ref="A1:L1"/>
  </mergeCells>
  <conditionalFormatting sqref="H3:H7">
    <cfRule type="expression" dxfId="29" priority="5">
      <formula>H3="Critical"</formula>
    </cfRule>
    <cfRule type="expression" dxfId="28" priority="6">
      <formula>H3="High"</formula>
    </cfRule>
  </conditionalFormatting>
  <conditionalFormatting sqref="K3:K7">
    <cfRule type="expression" dxfId="27" priority="1">
      <formula>K3="Pass"</formula>
    </cfRule>
    <cfRule type="expression" dxfId="26" priority="2">
      <formula>K3="Fail"</formula>
    </cfRule>
    <cfRule type="expression" dxfId="25" priority="3">
      <formula>K3="Blocked"</formula>
    </cfRule>
    <cfRule type="expression" dxfId="24" priority="4">
      <formula>K3="Not Run"</formula>
    </cfRule>
  </conditionalFormatting>
  <dataValidations count="4">
    <dataValidation type="list" sqref="K3:K7" xr:uid="{00000000-0002-0000-0300-000000000000}">
      <formula1>"Not Run,Pass,Fail,Blocked"</formula1>
    </dataValidation>
    <dataValidation type="list" sqref="H3:H7" xr:uid="{00000000-0002-0000-0300-000001000000}">
      <formula1>"Critical,High,Medium,Low"</formula1>
    </dataValidation>
    <dataValidation type="list" sqref="I3:I7" xr:uid="{00000000-0002-0000-0300-000002000000}">
      <formula1>"Positive,Negative,Regression,Integration,Security,Usability,E2E"</formula1>
    </dataValidation>
    <dataValidation type="list" sqref="J3:J7" xr:uid="{00000000-0002-0000-03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"/>
  <sheetViews>
    <sheetView showGridLines="0" topLeftCell="D1" workbookViewId="0">
      <selection sqref="A1:XFD1048576"/>
    </sheetView>
  </sheetViews>
  <sheetFormatPr defaultRowHeight="14.4" x14ac:dyDescent="0.3"/>
  <cols>
    <col min="1" max="1" width="7.77734375" bestFit="1" customWidth="1"/>
    <col min="2" max="2" width="13.5546875" bestFit="1" customWidth="1"/>
    <col min="3" max="3" width="48" customWidth="1"/>
    <col min="4" max="4" width="33.109375" bestFit="1" customWidth="1"/>
    <col min="5" max="5" width="34.109375" bestFit="1" customWidth="1"/>
    <col min="6" max="6" width="25" bestFit="1" customWidth="1"/>
    <col min="7" max="7" width="43.88671875" bestFit="1" customWidth="1"/>
    <col min="8" max="8" width="7.33203125" bestFit="1" customWidth="1"/>
    <col min="9" max="9" width="10.5546875" bestFit="1" customWidth="1"/>
    <col min="10" max="10" width="20.77734375" bestFit="1" customWidth="1"/>
    <col min="11" max="11" width="7.88671875" bestFit="1" customWidth="1"/>
    <col min="12" max="12" width="18.8867187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163</v>
      </c>
      <c r="B3" s="6" t="s">
        <v>49</v>
      </c>
      <c r="C3" s="6" t="s">
        <v>164</v>
      </c>
      <c r="D3" s="6" t="s">
        <v>165</v>
      </c>
      <c r="E3" s="6" t="s">
        <v>166</v>
      </c>
      <c r="F3" s="6" t="s">
        <v>167</v>
      </c>
      <c r="G3" s="6" t="s">
        <v>168</v>
      </c>
      <c r="H3" s="6" t="s">
        <v>89</v>
      </c>
      <c r="I3" s="6" t="s">
        <v>90</v>
      </c>
      <c r="J3" s="6" t="s">
        <v>91</v>
      </c>
      <c r="K3" s="6" t="s">
        <v>8</v>
      </c>
      <c r="L3" s="6" t="s">
        <v>169</v>
      </c>
    </row>
    <row r="4" spans="1:12" ht="42" customHeight="1" x14ac:dyDescent="0.3">
      <c r="A4" s="6" t="s">
        <v>170</v>
      </c>
      <c r="B4" s="6" t="s">
        <v>49</v>
      </c>
      <c r="C4" s="6" t="s">
        <v>171</v>
      </c>
      <c r="D4" s="6" t="s">
        <v>172</v>
      </c>
      <c r="E4" s="6" t="s">
        <v>173</v>
      </c>
      <c r="F4" s="6" t="s">
        <v>174</v>
      </c>
      <c r="G4" s="6" t="s">
        <v>175</v>
      </c>
      <c r="H4" s="6" t="s">
        <v>89</v>
      </c>
      <c r="I4" s="6" t="s">
        <v>124</v>
      </c>
      <c r="J4" s="6" t="s">
        <v>91</v>
      </c>
      <c r="K4" s="6" t="s">
        <v>8</v>
      </c>
      <c r="L4" s="6" t="s">
        <v>176</v>
      </c>
    </row>
    <row r="5" spans="1:12" ht="42" customHeight="1" x14ac:dyDescent="0.3">
      <c r="A5" s="6" t="s">
        <v>177</v>
      </c>
      <c r="B5" s="6" t="s">
        <v>49</v>
      </c>
      <c r="C5" s="6" t="s">
        <v>178</v>
      </c>
      <c r="D5" s="6" t="s">
        <v>179</v>
      </c>
      <c r="E5" s="6" t="s">
        <v>180</v>
      </c>
      <c r="F5" s="6" t="s">
        <v>181</v>
      </c>
      <c r="G5" s="6" t="s">
        <v>182</v>
      </c>
      <c r="H5" s="6" t="s">
        <v>10</v>
      </c>
      <c r="I5" s="6" t="s">
        <v>124</v>
      </c>
      <c r="J5" s="6" t="s">
        <v>91</v>
      </c>
      <c r="K5" s="6" t="s">
        <v>8</v>
      </c>
      <c r="L5" s="6" t="s">
        <v>183</v>
      </c>
    </row>
    <row r="6" spans="1:12" ht="42" customHeight="1" x14ac:dyDescent="0.3">
      <c r="A6" s="6" t="s">
        <v>184</v>
      </c>
      <c r="B6" s="6" t="s">
        <v>49</v>
      </c>
      <c r="C6" s="6" t="s">
        <v>185</v>
      </c>
      <c r="D6" s="6" t="s">
        <v>186</v>
      </c>
      <c r="E6" s="6" t="s">
        <v>187</v>
      </c>
      <c r="F6" s="6" t="s">
        <v>188</v>
      </c>
      <c r="G6" s="6" t="s">
        <v>189</v>
      </c>
      <c r="H6" s="6" t="s">
        <v>89</v>
      </c>
      <c r="I6" s="6" t="s">
        <v>153</v>
      </c>
      <c r="J6" s="6" t="s">
        <v>100</v>
      </c>
      <c r="K6" s="6" t="s">
        <v>8</v>
      </c>
      <c r="L6" s="6" t="s">
        <v>190</v>
      </c>
    </row>
    <row r="7" spans="1:12" ht="42" customHeight="1" x14ac:dyDescent="0.3">
      <c r="A7" s="6" t="s">
        <v>191</v>
      </c>
      <c r="B7" s="6" t="s">
        <v>49</v>
      </c>
      <c r="C7" s="6" t="s">
        <v>192</v>
      </c>
      <c r="D7" s="6" t="s">
        <v>193</v>
      </c>
      <c r="E7" s="6" t="s">
        <v>194</v>
      </c>
      <c r="F7" s="6" t="s">
        <v>195</v>
      </c>
      <c r="G7" s="6" t="s">
        <v>196</v>
      </c>
      <c r="H7" s="6" t="s">
        <v>10</v>
      </c>
      <c r="I7" s="6" t="s">
        <v>115</v>
      </c>
      <c r="J7" s="6" t="s">
        <v>100</v>
      </c>
      <c r="K7" s="6" t="s">
        <v>8</v>
      </c>
      <c r="L7" s="6" t="s">
        <v>197</v>
      </c>
    </row>
    <row r="8" spans="1:12" ht="42" customHeight="1" x14ac:dyDescent="0.3">
      <c r="A8" s="6" t="s">
        <v>198</v>
      </c>
      <c r="B8" s="6" t="s">
        <v>49</v>
      </c>
      <c r="C8" s="6" t="s">
        <v>199</v>
      </c>
      <c r="D8" s="6" t="s">
        <v>200</v>
      </c>
      <c r="E8" s="6" t="s">
        <v>201</v>
      </c>
      <c r="F8" s="6" t="s">
        <v>202</v>
      </c>
      <c r="G8" s="6" t="s">
        <v>203</v>
      </c>
      <c r="H8" s="6" t="s">
        <v>89</v>
      </c>
      <c r="I8" s="6" t="s">
        <v>99</v>
      </c>
      <c r="J8" s="6" t="s">
        <v>100</v>
      </c>
      <c r="K8" s="6" t="s">
        <v>8</v>
      </c>
      <c r="L8" s="6" t="s">
        <v>204</v>
      </c>
    </row>
  </sheetData>
  <mergeCells count="1">
    <mergeCell ref="A1:L1"/>
  </mergeCells>
  <conditionalFormatting sqref="H3:H8">
    <cfRule type="expression" dxfId="23" priority="5">
      <formula>H3="Critical"</formula>
    </cfRule>
    <cfRule type="expression" dxfId="22" priority="6">
      <formula>H3="High"</formula>
    </cfRule>
  </conditionalFormatting>
  <conditionalFormatting sqref="K3:K8">
    <cfRule type="expression" dxfId="21" priority="1">
      <formula>K3="Pass"</formula>
    </cfRule>
    <cfRule type="expression" dxfId="20" priority="2">
      <formula>K3="Fail"</formula>
    </cfRule>
    <cfRule type="expression" dxfId="19" priority="3">
      <formula>K3="Blocked"</formula>
    </cfRule>
    <cfRule type="expression" dxfId="18" priority="4">
      <formula>K3="Not Run"</formula>
    </cfRule>
  </conditionalFormatting>
  <dataValidations count="4">
    <dataValidation type="list" sqref="K3:K8" xr:uid="{00000000-0002-0000-0400-000000000000}">
      <formula1>"Not Run,Pass,Fail,Blocked"</formula1>
    </dataValidation>
    <dataValidation type="list" sqref="H3:H8" xr:uid="{00000000-0002-0000-0400-000001000000}">
      <formula1>"Critical,High,Medium,Low"</formula1>
    </dataValidation>
    <dataValidation type="list" sqref="I3:I8" xr:uid="{00000000-0002-0000-0400-000002000000}">
      <formula1>"Positive,Negative,Regression,Integration,Security,Usability,E2E"</formula1>
    </dataValidation>
    <dataValidation type="list" sqref="J3:J8" xr:uid="{00000000-0002-0000-04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showGridLines="0" topLeftCell="D1" workbookViewId="0">
      <selection sqref="A1:XFD1048576"/>
    </sheetView>
  </sheetViews>
  <sheetFormatPr defaultRowHeight="14.4" x14ac:dyDescent="0.3"/>
  <cols>
    <col min="1" max="1" width="7.5546875" bestFit="1" customWidth="1"/>
    <col min="2" max="2" width="20" bestFit="1" customWidth="1"/>
    <col min="3" max="3" width="47.33203125" bestFit="1" customWidth="1"/>
    <col min="4" max="4" width="32.6640625" bestFit="1" customWidth="1"/>
    <col min="5" max="5" width="29.88671875" bestFit="1" customWidth="1"/>
    <col min="6" max="6" width="29" bestFit="1" customWidth="1"/>
    <col min="7" max="7" width="43.44140625" bestFit="1" customWidth="1"/>
    <col min="8" max="8" width="7.33203125" bestFit="1" customWidth="1"/>
    <col min="9" max="9" width="10.5546875" bestFit="1" customWidth="1"/>
    <col min="10" max="10" width="20.77734375" bestFit="1" customWidth="1"/>
    <col min="11" max="11" width="7.88671875" bestFit="1" customWidth="1"/>
    <col min="12" max="12" width="21.10937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205</v>
      </c>
      <c r="B3" s="6" t="s">
        <v>51</v>
      </c>
      <c r="C3" s="6" t="s">
        <v>206</v>
      </c>
      <c r="D3" s="6" t="s">
        <v>207</v>
      </c>
      <c r="E3" s="6" t="s">
        <v>208</v>
      </c>
      <c r="F3" s="6" t="s">
        <v>209</v>
      </c>
      <c r="G3" s="6" t="s">
        <v>210</v>
      </c>
      <c r="H3" s="6" t="s">
        <v>89</v>
      </c>
      <c r="I3" s="6" t="s">
        <v>90</v>
      </c>
      <c r="J3" s="6" t="s">
        <v>91</v>
      </c>
      <c r="K3" s="6" t="s">
        <v>8</v>
      </c>
      <c r="L3" s="6" t="s">
        <v>211</v>
      </c>
    </row>
    <row r="4" spans="1:12" ht="42" customHeight="1" x14ac:dyDescent="0.3">
      <c r="A4" s="6" t="s">
        <v>212</v>
      </c>
      <c r="B4" s="6" t="s">
        <v>51</v>
      </c>
      <c r="C4" s="6" t="s">
        <v>213</v>
      </c>
      <c r="D4" s="6" t="s">
        <v>214</v>
      </c>
      <c r="E4" s="6" t="s">
        <v>215</v>
      </c>
      <c r="F4" s="6" t="s">
        <v>216</v>
      </c>
      <c r="G4" s="6" t="s">
        <v>217</v>
      </c>
      <c r="H4" s="6" t="s">
        <v>89</v>
      </c>
      <c r="I4" s="6" t="s">
        <v>90</v>
      </c>
      <c r="J4" s="6" t="s">
        <v>91</v>
      </c>
      <c r="K4" s="6" t="s">
        <v>8</v>
      </c>
      <c r="L4" s="6" t="s">
        <v>218</v>
      </c>
    </row>
    <row r="5" spans="1:12" ht="42" customHeight="1" x14ac:dyDescent="0.3">
      <c r="A5" s="6" t="s">
        <v>219</v>
      </c>
      <c r="B5" s="6" t="s">
        <v>51</v>
      </c>
      <c r="C5" s="6" t="s">
        <v>220</v>
      </c>
      <c r="D5" s="6" t="s">
        <v>221</v>
      </c>
      <c r="E5" s="6" t="s">
        <v>222</v>
      </c>
      <c r="F5" s="6" t="s">
        <v>223</v>
      </c>
      <c r="G5" s="6" t="s">
        <v>224</v>
      </c>
      <c r="H5" s="6" t="s">
        <v>89</v>
      </c>
      <c r="I5" s="6" t="s">
        <v>153</v>
      </c>
      <c r="J5" s="6" t="s">
        <v>100</v>
      </c>
      <c r="K5" s="6" t="s">
        <v>8</v>
      </c>
      <c r="L5" s="6" t="s">
        <v>225</v>
      </c>
    </row>
    <row r="6" spans="1:12" ht="42" customHeight="1" x14ac:dyDescent="0.3">
      <c r="A6" s="6" t="s">
        <v>226</v>
      </c>
      <c r="B6" s="6" t="s">
        <v>51</v>
      </c>
      <c r="C6" s="6" t="s">
        <v>227</v>
      </c>
      <c r="D6" s="6" t="s">
        <v>228</v>
      </c>
      <c r="E6" s="6" t="s">
        <v>229</v>
      </c>
      <c r="F6" s="6" t="s">
        <v>230</v>
      </c>
      <c r="G6" s="6" t="s">
        <v>231</v>
      </c>
      <c r="H6" s="6" t="s">
        <v>10</v>
      </c>
      <c r="I6" s="6" t="s">
        <v>115</v>
      </c>
      <c r="J6" s="6" t="s">
        <v>100</v>
      </c>
      <c r="K6" s="6" t="s">
        <v>8</v>
      </c>
      <c r="L6" s="6" t="s">
        <v>232</v>
      </c>
    </row>
    <row r="7" spans="1:12" ht="42" customHeight="1" x14ac:dyDescent="0.3">
      <c r="A7" s="6" t="s">
        <v>233</v>
      </c>
      <c r="B7" s="6" t="s">
        <v>51</v>
      </c>
      <c r="C7" s="6" t="s">
        <v>234</v>
      </c>
      <c r="D7" s="6" t="s">
        <v>235</v>
      </c>
      <c r="E7" s="6" t="s">
        <v>236</v>
      </c>
      <c r="F7" s="6" t="s">
        <v>237</v>
      </c>
      <c r="G7" s="6" t="s">
        <v>238</v>
      </c>
      <c r="H7" s="6" t="s">
        <v>89</v>
      </c>
      <c r="I7" s="6" t="s">
        <v>124</v>
      </c>
      <c r="J7" s="6" t="s">
        <v>100</v>
      </c>
      <c r="K7" s="6" t="s">
        <v>8</v>
      </c>
      <c r="L7" s="6" t="s">
        <v>239</v>
      </c>
    </row>
    <row r="8" spans="1:12" ht="42" customHeight="1" x14ac:dyDescent="0.3">
      <c r="A8" s="6" t="s">
        <v>240</v>
      </c>
      <c r="B8" s="6" t="s">
        <v>51</v>
      </c>
      <c r="C8" s="6" t="s">
        <v>241</v>
      </c>
      <c r="D8" s="6" t="s">
        <v>242</v>
      </c>
      <c r="E8" s="6" t="s">
        <v>243</v>
      </c>
      <c r="F8" s="6" t="s">
        <v>244</v>
      </c>
      <c r="G8" s="6" t="s">
        <v>245</v>
      </c>
      <c r="H8" s="6" t="s">
        <v>10</v>
      </c>
      <c r="I8" s="6" t="s">
        <v>115</v>
      </c>
      <c r="J8" s="6" t="s">
        <v>100</v>
      </c>
      <c r="K8" s="6" t="s">
        <v>8</v>
      </c>
      <c r="L8" s="6" t="s">
        <v>246</v>
      </c>
    </row>
  </sheetData>
  <mergeCells count="1">
    <mergeCell ref="A1:L1"/>
  </mergeCells>
  <conditionalFormatting sqref="H3:H8">
    <cfRule type="expression" dxfId="17" priority="5">
      <formula>H3="Critical"</formula>
    </cfRule>
    <cfRule type="expression" dxfId="16" priority="6">
      <formula>H3="High"</formula>
    </cfRule>
  </conditionalFormatting>
  <conditionalFormatting sqref="K3:K8">
    <cfRule type="expression" dxfId="15" priority="1">
      <formula>K3="Pass"</formula>
    </cfRule>
    <cfRule type="expression" dxfId="14" priority="2">
      <formula>K3="Fail"</formula>
    </cfRule>
    <cfRule type="expression" dxfId="13" priority="3">
      <formula>K3="Blocked"</formula>
    </cfRule>
    <cfRule type="expression" dxfId="12" priority="4">
      <formula>K3="Not Run"</formula>
    </cfRule>
  </conditionalFormatting>
  <dataValidations count="4">
    <dataValidation type="list" sqref="K3:K8" xr:uid="{00000000-0002-0000-0500-000000000000}">
      <formula1>"Not Run,Pass,Fail,Blocked"</formula1>
    </dataValidation>
    <dataValidation type="list" sqref="H3:H8" xr:uid="{00000000-0002-0000-0500-000001000000}">
      <formula1>"Critical,High,Medium,Low"</formula1>
    </dataValidation>
    <dataValidation type="list" sqref="I3:I8" xr:uid="{00000000-0002-0000-0500-000002000000}">
      <formula1>"Positive,Negative,Regression,Integration,Security,Usability,E2E"</formula1>
    </dataValidation>
    <dataValidation type="list" sqref="J3:J8" xr:uid="{00000000-0002-0000-05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showGridLines="0" workbookViewId="0">
      <selection activeCell="F19" sqref="A1:XFD1048576"/>
    </sheetView>
  </sheetViews>
  <sheetFormatPr defaultRowHeight="14.4" x14ac:dyDescent="0.3"/>
  <cols>
    <col min="1" max="1" width="7.77734375" bestFit="1" customWidth="1"/>
    <col min="2" max="2" width="21" bestFit="1" customWidth="1"/>
    <col min="3" max="3" width="47.33203125" bestFit="1" customWidth="1"/>
    <col min="4" max="4" width="33.88671875" bestFit="1" customWidth="1"/>
    <col min="5" max="5" width="36.88671875" customWidth="1"/>
    <col min="6" max="6" width="29.77734375" bestFit="1" customWidth="1"/>
    <col min="7" max="7" width="43.88671875" bestFit="1" customWidth="1"/>
    <col min="8" max="8" width="7.33203125" bestFit="1" customWidth="1"/>
    <col min="9" max="9" width="10.44140625" bestFit="1" customWidth="1"/>
    <col min="10" max="10" width="20.77734375" bestFit="1" customWidth="1"/>
    <col min="11" max="11" width="7.88671875" bestFit="1" customWidth="1"/>
    <col min="12" max="12" width="21.2187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247</v>
      </c>
      <c r="B3" s="6" t="s">
        <v>53</v>
      </c>
      <c r="C3" s="6" t="s">
        <v>248</v>
      </c>
      <c r="D3" s="6" t="s">
        <v>249</v>
      </c>
      <c r="E3" s="6" t="s">
        <v>250</v>
      </c>
      <c r="F3" s="6" t="s">
        <v>251</v>
      </c>
      <c r="G3" s="6" t="s">
        <v>252</v>
      </c>
      <c r="H3" s="6" t="s">
        <v>89</v>
      </c>
      <c r="I3" s="6" t="s">
        <v>124</v>
      </c>
      <c r="J3" s="6" t="s">
        <v>100</v>
      </c>
      <c r="K3" s="6" t="s">
        <v>8</v>
      </c>
      <c r="L3" s="6" t="s">
        <v>253</v>
      </c>
    </row>
    <row r="4" spans="1:12" ht="42" customHeight="1" x14ac:dyDescent="0.3">
      <c r="A4" s="6" t="s">
        <v>254</v>
      </c>
      <c r="B4" s="6" t="s">
        <v>53</v>
      </c>
      <c r="C4" s="6" t="s">
        <v>255</v>
      </c>
      <c r="D4" s="6" t="s">
        <v>256</v>
      </c>
      <c r="E4" s="6" t="s">
        <v>257</v>
      </c>
      <c r="F4" s="6" t="s">
        <v>258</v>
      </c>
      <c r="G4" s="6" t="s">
        <v>259</v>
      </c>
      <c r="H4" s="6" t="s">
        <v>89</v>
      </c>
      <c r="I4" s="6" t="s">
        <v>124</v>
      </c>
      <c r="J4" s="6" t="s">
        <v>100</v>
      </c>
      <c r="K4" s="6" t="s">
        <v>8</v>
      </c>
      <c r="L4" s="6" t="s">
        <v>260</v>
      </c>
    </row>
    <row r="5" spans="1:12" ht="42" customHeight="1" x14ac:dyDescent="0.3">
      <c r="A5" s="6" t="s">
        <v>261</v>
      </c>
      <c r="B5" s="6" t="s">
        <v>53</v>
      </c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6" t="s">
        <v>10</v>
      </c>
      <c r="I5" s="6" t="s">
        <v>115</v>
      </c>
      <c r="J5" s="6" t="s">
        <v>100</v>
      </c>
      <c r="K5" s="6" t="s">
        <v>8</v>
      </c>
      <c r="L5" s="6" t="s">
        <v>267</v>
      </c>
    </row>
    <row r="6" spans="1:12" ht="42" customHeight="1" x14ac:dyDescent="0.3">
      <c r="A6" s="6" t="s">
        <v>268</v>
      </c>
      <c r="B6" s="6" t="s">
        <v>53</v>
      </c>
      <c r="C6" s="6" t="s">
        <v>269</v>
      </c>
      <c r="D6" s="6" t="s">
        <v>270</v>
      </c>
      <c r="E6" s="6" t="s">
        <v>271</v>
      </c>
      <c r="F6" s="6" t="s">
        <v>272</v>
      </c>
      <c r="G6" s="6" t="s">
        <v>273</v>
      </c>
      <c r="H6" s="6" t="s">
        <v>89</v>
      </c>
      <c r="I6" s="6" t="s">
        <v>99</v>
      </c>
      <c r="J6" s="6" t="s">
        <v>91</v>
      </c>
      <c r="K6" s="6" t="s">
        <v>8</v>
      </c>
      <c r="L6" s="6" t="s">
        <v>274</v>
      </c>
    </row>
    <row r="7" spans="1:12" ht="42" customHeight="1" x14ac:dyDescent="0.3">
      <c r="A7" s="6" t="s">
        <v>275</v>
      </c>
      <c r="B7" s="6" t="s">
        <v>53</v>
      </c>
      <c r="C7" s="6" t="s">
        <v>276</v>
      </c>
      <c r="D7" s="6" t="s">
        <v>277</v>
      </c>
      <c r="E7" s="6" t="s">
        <v>278</v>
      </c>
      <c r="F7" s="6" t="s">
        <v>279</v>
      </c>
      <c r="G7" s="6" t="s">
        <v>280</v>
      </c>
      <c r="H7" s="6" t="s">
        <v>10</v>
      </c>
      <c r="I7" s="6" t="s">
        <v>161</v>
      </c>
      <c r="J7" s="6" t="s">
        <v>100</v>
      </c>
      <c r="K7" s="6" t="s">
        <v>8</v>
      </c>
      <c r="L7" s="6" t="s">
        <v>281</v>
      </c>
    </row>
  </sheetData>
  <mergeCells count="1">
    <mergeCell ref="A1:L1"/>
  </mergeCells>
  <conditionalFormatting sqref="H3:H7">
    <cfRule type="expression" dxfId="11" priority="5">
      <formula>H3="Critical"</formula>
    </cfRule>
    <cfRule type="expression" dxfId="10" priority="6">
      <formula>H3="High"</formula>
    </cfRule>
  </conditionalFormatting>
  <conditionalFormatting sqref="K3:K7">
    <cfRule type="expression" dxfId="9" priority="1">
      <formula>K3="Pass"</formula>
    </cfRule>
    <cfRule type="expression" dxfId="8" priority="2">
      <formula>K3="Fail"</formula>
    </cfRule>
    <cfRule type="expression" dxfId="7" priority="3">
      <formula>K3="Blocked"</formula>
    </cfRule>
    <cfRule type="expression" dxfId="6" priority="4">
      <formula>K3="Not Run"</formula>
    </cfRule>
  </conditionalFormatting>
  <dataValidations count="4">
    <dataValidation type="list" sqref="K3:K7" xr:uid="{00000000-0002-0000-0600-000000000000}">
      <formula1>"Not Run,Pass,Fail,Blocked"</formula1>
    </dataValidation>
    <dataValidation type="list" sqref="H3:H7" xr:uid="{00000000-0002-0000-0600-000001000000}">
      <formula1>"Critical,High,Medium,Low"</formula1>
    </dataValidation>
    <dataValidation type="list" sqref="I3:I7" xr:uid="{00000000-0002-0000-0600-000002000000}">
      <formula1>"Positive,Negative,Regression,Integration,Security,Usability,E2E"</formula1>
    </dataValidation>
    <dataValidation type="list" sqref="J3:J7" xr:uid="{00000000-0002-0000-06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"/>
  <sheetViews>
    <sheetView showGridLines="0" tabSelected="1" workbookViewId="0">
      <selection activeCell="E13" sqref="A1:XFD1048576"/>
    </sheetView>
  </sheetViews>
  <sheetFormatPr defaultRowHeight="14.4" x14ac:dyDescent="0.3"/>
  <cols>
    <col min="1" max="1" width="11.44140625" bestFit="1" customWidth="1"/>
    <col min="2" max="2" width="17.44140625" bestFit="1" customWidth="1"/>
    <col min="3" max="3" width="47.33203125" bestFit="1" customWidth="1"/>
    <col min="4" max="4" width="33.6640625" bestFit="1" customWidth="1"/>
    <col min="5" max="5" width="22.6640625" bestFit="1" customWidth="1"/>
    <col min="6" max="6" width="29.5546875" bestFit="1" customWidth="1"/>
    <col min="7" max="7" width="43.88671875" bestFit="1" customWidth="1"/>
    <col min="8" max="8" width="7.33203125" bestFit="1" customWidth="1"/>
    <col min="9" max="9" width="5.109375" bestFit="1" customWidth="1"/>
    <col min="10" max="10" width="20.77734375" bestFit="1" customWidth="1"/>
    <col min="11" max="11" width="7.88671875" bestFit="1" customWidth="1"/>
    <col min="12" max="12" width="21.8867187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282</v>
      </c>
      <c r="B3" s="6" t="s">
        <v>55</v>
      </c>
      <c r="C3" s="6" t="s">
        <v>283</v>
      </c>
      <c r="D3" s="6" t="s">
        <v>284</v>
      </c>
      <c r="E3" s="6" t="s">
        <v>285</v>
      </c>
      <c r="F3" s="6" t="s">
        <v>286</v>
      </c>
      <c r="G3" s="6" t="s">
        <v>287</v>
      </c>
      <c r="H3" s="6" t="s">
        <v>89</v>
      </c>
      <c r="I3" s="6" t="s">
        <v>288</v>
      </c>
      <c r="J3" s="6" t="s">
        <v>100</v>
      </c>
      <c r="K3" s="6" t="s">
        <v>8</v>
      </c>
      <c r="L3" s="6" t="s">
        <v>289</v>
      </c>
    </row>
    <row r="4" spans="1:12" ht="42" customHeight="1" x14ac:dyDescent="0.3">
      <c r="A4" s="6" t="s">
        <v>290</v>
      </c>
      <c r="B4" s="6" t="s">
        <v>55</v>
      </c>
      <c r="C4" s="6" t="s">
        <v>291</v>
      </c>
      <c r="D4" s="6" t="s">
        <v>292</v>
      </c>
      <c r="E4" s="6" t="s">
        <v>293</v>
      </c>
      <c r="F4" s="6" t="s">
        <v>294</v>
      </c>
      <c r="G4" s="6" t="s">
        <v>295</v>
      </c>
      <c r="H4" s="6" t="s">
        <v>89</v>
      </c>
      <c r="I4" s="6" t="s">
        <v>288</v>
      </c>
      <c r="J4" s="6" t="s">
        <v>100</v>
      </c>
      <c r="K4" s="6" t="s">
        <v>8</v>
      </c>
      <c r="L4" s="6" t="s">
        <v>296</v>
      </c>
    </row>
    <row r="5" spans="1:12" ht="42" customHeight="1" x14ac:dyDescent="0.3">
      <c r="A5" s="6" t="s">
        <v>297</v>
      </c>
      <c r="B5" s="6" t="s">
        <v>55</v>
      </c>
      <c r="C5" s="6" t="s">
        <v>298</v>
      </c>
      <c r="D5" s="6" t="s">
        <v>299</v>
      </c>
      <c r="E5" s="6" t="s">
        <v>300</v>
      </c>
      <c r="F5" s="6" t="s">
        <v>301</v>
      </c>
      <c r="G5" s="6" t="s">
        <v>302</v>
      </c>
      <c r="H5" s="6" t="s">
        <v>89</v>
      </c>
      <c r="I5" s="6" t="s">
        <v>288</v>
      </c>
      <c r="J5" s="6" t="s">
        <v>100</v>
      </c>
      <c r="K5" s="6" t="s">
        <v>8</v>
      </c>
      <c r="L5" s="6" t="s">
        <v>303</v>
      </c>
    </row>
    <row r="6" spans="1:12" ht="42" customHeight="1" x14ac:dyDescent="0.3">
      <c r="A6" s="6" t="s">
        <v>304</v>
      </c>
      <c r="B6" s="6" t="s">
        <v>55</v>
      </c>
      <c r="C6" s="6" t="s">
        <v>305</v>
      </c>
      <c r="D6" s="6" t="s">
        <v>306</v>
      </c>
      <c r="E6" s="6" t="s">
        <v>307</v>
      </c>
      <c r="F6" s="6" t="s">
        <v>308</v>
      </c>
      <c r="G6" s="6" t="s">
        <v>309</v>
      </c>
      <c r="H6" s="6" t="s">
        <v>89</v>
      </c>
      <c r="I6" s="6" t="s">
        <v>288</v>
      </c>
      <c r="J6" s="6" t="s">
        <v>100</v>
      </c>
      <c r="K6" s="6" t="s">
        <v>8</v>
      </c>
      <c r="L6" s="6" t="s">
        <v>310</v>
      </c>
    </row>
  </sheetData>
  <mergeCells count="1">
    <mergeCell ref="A1:L1"/>
  </mergeCells>
  <conditionalFormatting sqref="H3:H6">
    <cfRule type="expression" dxfId="5" priority="5">
      <formula>H3="Critical"</formula>
    </cfRule>
    <cfRule type="expression" dxfId="4" priority="6">
      <formula>H3="High"</formula>
    </cfRule>
  </conditionalFormatting>
  <conditionalFormatting sqref="K3:K6">
    <cfRule type="expression" dxfId="3" priority="1">
      <formula>K3="Pass"</formula>
    </cfRule>
    <cfRule type="expression" dxfId="2" priority="2">
      <formula>K3="Fail"</formula>
    </cfRule>
    <cfRule type="expression" dxfId="1" priority="3">
      <formula>K3="Blocked"</formula>
    </cfRule>
    <cfRule type="expression" dxfId="0" priority="4">
      <formula>K3="Not Run"</formula>
    </cfRule>
  </conditionalFormatting>
  <dataValidations count="4">
    <dataValidation type="list" sqref="K3:K6" xr:uid="{00000000-0002-0000-0700-000000000000}">
      <formula1>"Not Run,Pass,Fail,Blocked"</formula1>
    </dataValidation>
    <dataValidation type="list" sqref="H3:H6" xr:uid="{00000000-0002-0000-0700-000001000000}">
      <formula1>"Critical,High,Medium,Low"</formula1>
    </dataValidation>
    <dataValidation type="list" sqref="I3:I6" xr:uid="{00000000-0002-0000-0700-000002000000}">
      <formula1>"Positive,Negative,Regression,Integration,Security,Usability,E2E"</formula1>
    </dataValidation>
    <dataValidation type="list" sqref="J3:J6" xr:uid="{00000000-0002-0000-07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8d2d5684-10a2-4364-952f-c78858d41697}" enabled="1" method="Standard" siteId="{4a3454a0-8cf4-4a9c-b1c0-6ce4d1495f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Summary</vt:lpstr>
      <vt:lpstr>10_Player_Access</vt:lpstr>
      <vt:lpstr>20_Game_Session_Lobby</vt:lpstr>
      <vt:lpstr>30_Bet_Placement</vt:lpstr>
      <vt:lpstr>40_Settlement_Payouts</vt:lpstr>
      <vt:lpstr>50_Limits_Error_Handling</vt:lpstr>
      <vt:lpstr>60_Betting_E2E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Tan, Ramon Jr</cp:lastModifiedBy>
  <dcterms:modified xsi:type="dcterms:W3CDTF">2026-04-05T11:58:05Z</dcterms:modified>
</cp:coreProperties>
</file>