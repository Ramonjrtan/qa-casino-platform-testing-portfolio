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onJrTan\Downloads\qa-casino-platform-testing-portfolio\qa-casino-platform-testing-portfolio\test-cases\"/>
    </mc:Choice>
  </mc:AlternateContent>
  <xr:revisionPtr revIDLastSave="0" documentId="13_ncr:1_{407FF8BA-5726-4516-9479-602D987F0AC2}" xr6:coauthVersionLast="47" xr6:coauthVersionMax="47" xr10:uidLastSave="{00000000-0000-0000-0000-000000000000}"/>
  <bookViews>
    <workbookView xWindow="28680" yWindow="-120" windowWidth="29040" windowHeight="15720" firstSheet="2" activeTab="7" xr2:uid="{00000000-000D-0000-FFFF-FFFF00000000}"/>
  </bookViews>
  <sheets>
    <sheet name="README" sheetId="1" r:id="rId1"/>
    <sheet name="Summary" sheetId="2" r:id="rId2"/>
    <sheet name="10_Wallet_Account_Access" sheetId="3" r:id="rId3"/>
    <sheet name="20_Deposit_Flows" sheetId="4" r:id="rId4"/>
    <sheet name="30_Withdrawal_Flows" sheetId="5" r:id="rId5"/>
    <sheet name="40_Transfer_Refunds" sheetId="6" r:id="rId6"/>
    <sheet name="50_Balance_Reconciliation" sheetId="7" r:id="rId7"/>
    <sheet name="60_Wallet_E2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F19" i="2" s="1"/>
  <c r="E13" i="2"/>
  <c r="E19" i="2" s="1"/>
  <c r="D13" i="2"/>
  <c r="D19" i="2" s="1"/>
  <c r="C13" i="2"/>
  <c r="C19" i="2" s="1"/>
  <c r="E24" i="2" s="1"/>
  <c r="E25" i="2" l="1"/>
  <c r="E26" i="2" s="1"/>
  <c r="E27" i="2" l="1"/>
  <c r="E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sharedStrings.xml><?xml version="1.0" encoding="utf-8"?>
<sst xmlns="http://schemas.openxmlformats.org/spreadsheetml/2006/main" count="538" uniqueCount="314">
  <si>
    <t>Casino Wallet - QA Manual Test Case Test Pack</t>
  </si>
  <si>
    <t>Purpose</t>
  </si>
  <si>
    <t>Provide reusable sample manual test cases across casino platform qa / wallet &amp; payments workflows in a simulated casino platform, including core positive, negative, integration, and end-to-end flows.</t>
  </si>
  <si>
    <t>How to use</t>
  </si>
  <si>
    <t>Open each module sheet and update the Status and Notes columns during execution. Summary KPIs and module counts refresh automatically.</t>
  </si>
  <si>
    <t>Important note</t>
  </si>
  <si>
    <t>These are sample QA scenarios for portfolio use and should be tailored to the exact casino platform build, jurisdiction rules, payment integrations, and enabled responsible-gaming controls in the target environment.</t>
  </si>
  <si>
    <t>Default status</t>
  </si>
  <si>
    <t>Not Run</t>
  </si>
  <si>
    <t>Default priority</t>
  </si>
  <si>
    <t>High</t>
  </si>
  <si>
    <t>Primary domain</t>
  </si>
  <si>
    <t>Casino Platform QA - Wallet &amp; Payments</t>
  </si>
  <si>
    <t>Demo credentials</t>
  </si>
  <si>
    <t>Simulated Player: player01 / Demo123! | Simulated Admin: qa_admin / Admin123!</t>
  </si>
  <si>
    <t>Source Name</t>
  </si>
  <si>
    <t>Path / URL</t>
  </si>
  <si>
    <t>Use in this workbook</t>
  </si>
  <si>
    <t>Portfolio README</t>
  </si>
  <si>
    <t>../README.md</t>
  </si>
  <si>
    <t>Overview and scope for this simulated casino QA portfolio</t>
  </si>
  <si>
    <t>Test Strategy</t>
  </si>
  <si>
    <t>../test-strategy/test-approach.md</t>
  </si>
  <si>
    <t>Risk-based test approach and execution guidance</t>
  </si>
  <si>
    <t>Postman Collection</t>
  </si>
  <si>
    <t>../api-tests/postman-collections/casino-platform-qa.postman_collection.json</t>
  </si>
  <si>
    <t>API request examples aligned to these scenarios</t>
  </si>
  <si>
    <t>Sample Requests</t>
  </si>
  <si>
    <t>../api-tests/sample-requests.json</t>
  </si>
  <si>
    <t>Sample payloads aligned to wallet, betting, and compliance flows</t>
  </si>
  <si>
    <t>Casino Wallet - QA Manual Test Case Tracker</t>
  </si>
  <si>
    <t>Manual QA test suite for casino wallet and payment workflows using the same multi-tab execution-tracker structure as the user's prior OpenMRS-style portfolio trackers.</t>
  </si>
  <si>
    <t>Workbook Controls</t>
  </si>
  <si>
    <t>Default Status</t>
  </si>
  <si>
    <t>Default Priority</t>
  </si>
  <si>
    <t>Portfolio Owner</t>
  </si>
  <si>
    <t>Ramon Tan Jr.</t>
  </si>
  <si>
    <t>Primary Domain</t>
  </si>
  <si>
    <t>Module Coverage</t>
  </si>
  <si>
    <t>Module</t>
  </si>
  <si>
    <t>Sheet Name</t>
  </si>
  <si>
    <t>Total Cases</t>
  </si>
  <si>
    <t>High Priority</t>
  </si>
  <si>
    <t>Negative Cases</t>
  </si>
  <si>
    <t>Automation Candidates</t>
  </si>
  <si>
    <t>Wallet Account Access</t>
  </si>
  <si>
    <t>10_Wallet_Account_Access</t>
  </si>
  <si>
    <t>Deposit Flows</t>
  </si>
  <si>
    <t>20_Deposit_Flows</t>
  </si>
  <si>
    <t>Withdrawal Flows</t>
  </si>
  <si>
    <t>30_Withdrawal_Flows</t>
  </si>
  <si>
    <t>Transfer &amp; Refunds</t>
  </si>
  <si>
    <t>40_Transfer_Refunds</t>
  </si>
  <si>
    <t>Balance &amp; Reconciliation</t>
  </si>
  <si>
    <t>50_Balance_Reconciliation</t>
  </si>
  <si>
    <t>Wallet End-to-End</t>
  </si>
  <si>
    <t>60_Wallet_E2E</t>
  </si>
  <si>
    <t>Total</t>
  </si>
  <si>
    <t>Execution Status</t>
  </si>
  <si>
    <t>Status</t>
  </si>
  <si>
    <t>Count</t>
  </si>
  <si>
    <t/>
  </si>
  <si>
    <t>Metric</t>
  </si>
  <si>
    <t>Value</t>
  </si>
  <si>
    <t>Total Test Cases</t>
  </si>
  <si>
    <t>Pass</t>
  </si>
  <si>
    <t>Executed Cases</t>
  </si>
  <si>
    <t>Fail</t>
  </si>
  <si>
    <t>Execution %</t>
  </si>
  <si>
    <t>Blocked</t>
  </si>
  <si>
    <t>Pass Rate</t>
  </si>
  <si>
    <t>Fail Rate</t>
  </si>
  <si>
    <t>Update the Status and Notes columns during execution. Summary KPIs and counts refresh automatically.</t>
  </si>
  <si>
    <t>TC_ID</t>
  </si>
  <si>
    <t>Scenario</t>
  </si>
  <si>
    <t>Preconditions</t>
  </si>
  <si>
    <t>Steps</t>
  </si>
  <si>
    <t>Test Data</t>
  </si>
  <si>
    <t>Expected Result</t>
  </si>
  <si>
    <t>Priority</t>
  </si>
  <si>
    <t>Type</t>
  </si>
  <si>
    <t>Automation Candidate</t>
  </si>
  <si>
    <t>Notes</t>
  </si>
  <si>
    <t>WAL-AUTH-001</t>
  </si>
  <si>
    <t>Valid player login succeeds with correct credentials and 2FA challenge completed</t>
  </si>
  <si>
    <t>Player account exists and is active</t>
  </si>
  <si>
    <t>1. Open player login
2. Enter valid credentials
3. Complete 2FA
4. Submit</t>
  </si>
  <si>
    <t>player01 / valid password / valid OTP</t>
  </si>
  <si>
    <t>Player is authenticated successfully and wallet home page loads</t>
  </si>
  <si>
    <t>Critical</t>
  </si>
  <si>
    <t>Positive</t>
  </si>
  <si>
    <t>Yes</t>
  </si>
  <si>
    <t>Core wallet access</t>
  </si>
  <si>
    <t>WAL-AUTH-002</t>
  </si>
  <si>
    <t>Login is blocked with invalid password</t>
  </si>
  <si>
    <t>Player account exists</t>
  </si>
  <si>
    <t>1. Open login
2. Enter valid username and invalid password
3. Submit</t>
  </si>
  <si>
    <t>player01 / wrong password</t>
  </si>
  <si>
    <t>System blocks login and shows generic authentication error without granting access</t>
  </si>
  <si>
    <t>Negative</t>
  </si>
  <si>
    <t>Credential validation</t>
  </si>
  <si>
    <t>WAL-AUTH-003</t>
  </si>
  <si>
    <t>Locked account cannot authenticate until administrative unlock or configured timeout</t>
  </si>
  <si>
    <t>Player account is in locked state after repeated failures</t>
  </si>
  <si>
    <t>1. Attempt login on locked account
2. Review message</t>
  </si>
  <si>
    <t>locked player account</t>
  </si>
  <si>
    <t>System blocks access and explains next allowed action without exposing sensitive internals</t>
  </si>
  <si>
    <t>Security</t>
  </si>
  <si>
    <t>Later</t>
  </si>
  <si>
    <t>Account lockout</t>
  </si>
  <si>
    <t>WAL-AUTH-004</t>
  </si>
  <si>
    <t>Session timeout requires re-authentication before sensitive wallet action</t>
  </si>
  <si>
    <t>Player is logged in</t>
  </si>
  <si>
    <t>1. Stay idle until session timeout
2. Attempt deposit or withdraw</t>
  </si>
  <si>
    <t>idle authenticated session</t>
  </si>
  <si>
    <t>System requests re-authentication before sensitive action continues</t>
  </si>
  <si>
    <t>Session control</t>
  </si>
  <si>
    <t>WAL-AUTH-005</t>
  </si>
  <si>
    <t>Back button after logout does not reopen wallet balance page</t>
  </si>
  <si>
    <t>Player has logged out successfully</t>
  </si>
  <si>
    <t>1. Log out
2. Click browser Back</t>
  </si>
  <si>
    <t>logged-out browser session</t>
  </si>
  <si>
    <t>Protected wallet pages are not accessible without new authentication</t>
  </si>
  <si>
    <t>Post-logout protection</t>
  </si>
  <si>
    <t>WAL-AUTH-006</t>
  </si>
  <si>
    <t>Disabled responsible-gaming account is blocked from wallet access</t>
  </si>
  <si>
    <t>Player account is disabled or suspended</t>
  </si>
  <si>
    <t>1. Attempt login
2. Review result</t>
  </si>
  <si>
    <t>suspended player account</t>
  </si>
  <si>
    <t>System denies access and surfaces controlled account-status message</t>
  </si>
  <si>
    <t>Restricted access</t>
  </si>
  <si>
    <t>DEP-001</t>
  </si>
  <si>
    <t>Successful card deposit credits player wallet and records transaction</t>
  </si>
  <si>
    <t>Player is logged in with verified payment method</t>
  </si>
  <si>
    <t>1. Open deposit page
2. Enter amount
3. Submit valid card payment</t>
  </si>
  <si>
    <t>€50 Visa card</t>
  </si>
  <si>
    <t>Deposit succeeds, wallet balance increases by exact amount, and transaction is logged</t>
  </si>
  <si>
    <t>Core deposit flow</t>
  </si>
  <si>
    <t>DEP-002</t>
  </si>
  <si>
    <t>Deposit fails when card authorization is declined</t>
  </si>
  <si>
    <t>1. Attempt deposit with declined card
2. Review balance and history</t>
  </si>
  <si>
    <t>Declined test card / €50</t>
  </si>
  <si>
    <t>System shows failed deposit, wallet balance remains unchanged, and failure is logged</t>
  </si>
  <si>
    <t>Decline handling</t>
  </si>
  <si>
    <t>DEP-003</t>
  </si>
  <si>
    <t>Minimum deposit amount validation is enforced</t>
  </si>
  <si>
    <t>1. Attempt deposit below minimum threshold</t>
  </si>
  <si>
    <t>€1 when minimum is €5</t>
  </si>
  <si>
    <t>System blocks submission and explains minimum amount rule</t>
  </si>
  <si>
    <t>Business rule validation</t>
  </si>
  <si>
    <t>DEP-004</t>
  </si>
  <si>
    <t>Duplicate click on deposit submit does not create duplicate credits</t>
  </si>
  <si>
    <t>Player is logged in with valid payment method</t>
  </si>
  <si>
    <t>1. Enter valid deposit
2. Double-click submit or retry during latency</t>
  </si>
  <si>
    <t>€25 deposit request</t>
  </si>
  <si>
    <t>System remains idempotent and only one successful deposit is credited</t>
  </si>
  <si>
    <t>Integration</t>
  </si>
  <si>
    <t>Idempotency</t>
  </si>
  <si>
    <t>DEP-005</t>
  </si>
  <si>
    <t>Deposit history shows completed transaction with reference and timestamp</t>
  </si>
  <si>
    <t>Successful deposit was completed earlier</t>
  </si>
  <si>
    <t>1. Open transaction history
2. Filter by recent deposits</t>
  </si>
  <si>
    <t>existing successful deposit</t>
  </si>
  <si>
    <t>History displays correct amount, status, method, and reference for completed deposit</t>
  </si>
  <si>
    <t>Regression</t>
  </si>
  <si>
    <t>History visibility</t>
  </si>
  <si>
    <t>DEP-006</t>
  </si>
  <si>
    <t>Daily deposit limit prevents amount above configured threshold</t>
  </si>
  <si>
    <t>Player has existing deposits near daily limit</t>
  </si>
  <si>
    <t>1. Attempt deposit that exceeds remaining daily limit</t>
  </si>
  <si>
    <t>Deposit causing total &gt; daily limit</t>
  </si>
  <si>
    <t>System blocks deposit and presents responsible-gaming limit message</t>
  </si>
  <si>
    <t>Responsible gaming limit</t>
  </si>
  <si>
    <t>WDR-001</t>
  </si>
  <si>
    <t>Successful withdrawal debits wallet and creates pending payout record</t>
  </si>
  <si>
    <t>Player is logged in with sufficient cleared balance and verified payout method</t>
  </si>
  <si>
    <t>1. Open withdraw page
2. Enter amount
3. Submit valid withdrawal</t>
  </si>
  <si>
    <t>€40 withdrawal to verified bank account</t>
  </si>
  <si>
    <t>Wallet available balance is reduced correctly and payout record is created with pending status</t>
  </si>
  <si>
    <t>Core withdrawal</t>
  </si>
  <si>
    <t>WDR-002</t>
  </si>
  <si>
    <t>Withdrawal is blocked when amount exceeds available balance</t>
  </si>
  <si>
    <t>1. Attempt withdrawal above available balance</t>
  </si>
  <si>
    <t>€500 with €100 available</t>
  </si>
  <si>
    <t>System blocks request and balance remains unchanged</t>
  </si>
  <si>
    <t>Balance validation</t>
  </si>
  <si>
    <t>WDR-003</t>
  </si>
  <si>
    <t>Withdrawal is blocked when KYC status is incomplete</t>
  </si>
  <si>
    <t>Player is logged in but verification incomplete</t>
  </si>
  <si>
    <t>1. Attempt withdrawal</t>
  </si>
  <si>
    <t>unverified player / €20</t>
  </si>
  <si>
    <t>System blocks withdrawal and prompts verification requirements</t>
  </si>
  <si>
    <t>KYC dependency</t>
  </si>
  <si>
    <t>WDR-004</t>
  </si>
  <si>
    <t>Cancellation of pending withdrawal restores available wallet balance once reversal completes</t>
  </si>
  <si>
    <t>Player has a pending withdrawal eligible for cancel</t>
  </si>
  <si>
    <t>1. Cancel pending withdrawal
2. Refresh balance and history</t>
  </si>
  <si>
    <t>existing pending withdrawal</t>
  </si>
  <si>
    <t>Cancelled withdrawal is reversed cleanly and funds become available again</t>
  </si>
  <si>
    <t>Reversal handling</t>
  </si>
  <si>
    <t>WDR-005</t>
  </si>
  <si>
    <t>Withdrawal fees are displayed and posted correctly when applicable</t>
  </si>
  <si>
    <t>Player is logged in and fee policy applies</t>
  </si>
  <si>
    <t>1. Enter withdrawal amount
2. Submit
3. Review ledger</t>
  </si>
  <si>
    <t>€100 withdrawal with fee policy</t>
  </si>
  <si>
    <t>Displayed net amount and recorded fee match configured fee rules</t>
  </si>
  <si>
    <t>Medium</t>
  </si>
  <si>
    <t>Fee calculation</t>
  </si>
  <si>
    <t>WDR-006</t>
  </si>
  <si>
    <t>Repeated submission during timeout does not create duplicate withdrawal requests</t>
  </si>
  <si>
    <t>Player is logged in with sufficient balance</t>
  </si>
  <si>
    <t>1. Submit withdrawal
2. Retry during processing delay</t>
  </si>
  <si>
    <t>€30 withdrawal retried during latency</t>
  </si>
  <si>
    <t>System creates at most one active withdrawal request</t>
  </si>
  <si>
    <t>Duplicate prevention</t>
  </si>
  <si>
    <t>TRF-001</t>
  </si>
  <si>
    <t>Internal wallet transfer between sub-wallets updates both balances consistently</t>
  </si>
  <si>
    <t>Player account supports cash and bonus wallets</t>
  </si>
  <si>
    <t>1. Transfer amount between wallets
2. Review balances</t>
  </si>
  <si>
    <t>€10 cash to bonus wallet</t>
  </si>
  <si>
    <t>Source and destination balances update correctly and ledger entries remain balanced</t>
  </si>
  <si>
    <t>Sub-wallet movement</t>
  </si>
  <si>
    <t>TRF-002</t>
  </si>
  <si>
    <t>Failed game round refund restores original wallet amount exactly once</t>
  </si>
  <si>
    <t>A failed or cancelled game round exists</t>
  </si>
  <si>
    <t>1. Trigger refund flow
2. Review balance and transaction history</t>
  </si>
  <si>
    <t>cancelled bet refund</t>
  </si>
  <si>
    <t>Refund amount is restored once and linked to original failed round</t>
  </si>
  <si>
    <t>Refund integrity</t>
  </si>
  <si>
    <t>TRF-003</t>
  </si>
  <si>
    <t>Manual adjustment by authorized operator is visible in audit and player history</t>
  </si>
  <si>
    <t>Authorized back-office operator exists</t>
  </si>
  <si>
    <t>1. Post wallet adjustment
2. Review player history and audit</t>
  </si>
  <si>
    <t>operator credit +€15</t>
  </si>
  <si>
    <t>Adjustment is recorded with reason code, operator identity, and resulting balance</t>
  </si>
  <si>
    <t>Adjustment traceability</t>
  </si>
  <si>
    <t>TRF-004</t>
  </si>
  <si>
    <t>Unauthorized user cannot invoke wallet adjustment API directly</t>
  </si>
  <si>
    <t>Unauthorized or player-only token available</t>
  </si>
  <si>
    <t>1. Call adjustment endpoint without privilege</t>
  </si>
  <si>
    <t>player token / adjustment payload</t>
  </si>
  <si>
    <t>System returns authorization failure and no ledger change occurs</t>
  </si>
  <si>
    <t>Privilege enforcement</t>
  </si>
  <si>
    <t>TRF-005</t>
  </si>
  <si>
    <t>Refund history can be filtered by transaction reference</t>
  </si>
  <si>
    <t>At least one refunded transaction exists</t>
  </si>
  <si>
    <t>1. Open history
2. Search using transaction reference</t>
  </si>
  <si>
    <t>existing refund reference</t>
  </si>
  <si>
    <t>Refund entry is returned with correct amount and status</t>
  </si>
  <si>
    <t>Searchability</t>
  </si>
  <si>
    <t>REC-001</t>
  </si>
  <si>
    <t>Displayed wallet balance matches latest backend ledger total after deposit</t>
  </si>
  <si>
    <t>Recent deposit exists</t>
  </si>
  <si>
    <t>1. Open wallet UI
2. Compare UI balance with backend record</t>
  </si>
  <si>
    <t>recent successful deposit</t>
  </si>
  <si>
    <t>Frontend balance matches reconciled backend ledger total</t>
  </si>
  <si>
    <t>UI to ledger consistency</t>
  </si>
  <si>
    <t>REC-002</t>
  </si>
  <si>
    <t>Pending withdrawal amount is excluded from available balance but remains in total ledger</t>
  </si>
  <si>
    <t>Pending withdrawal exists</t>
  </si>
  <si>
    <t>1. Review available and pending amounts
2. Compare with ledger</t>
  </si>
  <si>
    <t>account with pending withdrawal</t>
  </si>
  <si>
    <t>Displayed amounts follow business rules and backend totals remain consistent</t>
  </si>
  <si>
    <t>Available vs pending</t>
  </si>
  <si>
    <t>REC-003</t>
  </si>
  <si>
    <t>Transaction history remains chronologically ordered across deposit, bet, refund, and withdrawal actions</t>
  </si>
  <si>
    <t>Mixed transaction activity exists</t>
  </si>
  <si>
    <t>1. Review transaction history
2. Compare timestamps and references</t>
  </si>
  <si>
    <t>multi-transaction player account</t>
  </si>
  <si>
    <t>History ordering and running balance are correct across mixed event types</t>
  </si>
  <si>
    <t>History ordering</t>
  </si>
  <si>
    <t>REC-004</t>
  </si>
  <si>
    <t>Ledger processing error triggers visible failed status without silent balance corruption</t>
  </si>
  <si>
    <t>Injected or simulated ledger failure exists</t>
  </si>
  <si>
    <t>1. Trigger simulated failure
2. Review UI and logs</t>
  </si>
  <si>
    <t>simulated ledger exception</t>
  </si>
  <si>
    <t>Wallet does not show incorrect credit/debit and system surfaces controlled failure status</t>
  </si>
  <si>
    <t>Failure containment</t>
  </si>
  <si>
    <t>REC-005</t>
  </si>
  <si>
    <t>End-of-day reconciliation report totals match transaction ledger totals for test player set</t>
  </si>
  <si>
    <t>Reconciliation job can be run against sample data</t>
  </si>
  <si>
    <t>1. Run reconciliation
2. Compare totals</t>
  </si>
  <si>
    <t>sample player dataset</t>
  </si>
  <si>
    <t>Report totals equal underlying ledger totals and any variance is highlighted</t>
  </si>
  <si>
    <t>Reporting consistency</t>
  </si>
  <si>
    <t>WAL-E2E-001</t>
  </si>
  <si>
    <t>Login to deposit to updated balance flow works end-to-end</t>
  </si>
  <si>
    <t>Verified player account exists</t>
  </si>
  <si>
    <t>1. Log in
2. Deposit funds
3. Review new balance and history</t>
  </si>
  <si>
    <t>verified player / €25 deposit</t>
  </si>
  <si>
    <t>Player can authenticate, deposit successfully, and see updated balance end-to-end</t>
  </si>
  <si>
    <t>E2E</t>
  </si>
  <si>
    <t>Core wallet journey</t>
  </si>
  <si>
    <t>WAL-E2E-002</t>
  </si>
  <si>
    <t>Deposit to game refund to final balance flow remains consistent end-to-end</t>
  </si>
  <si>
    <t>Player has funded wallet and game refund scenario</t>
  </si>
  <si>
    <t>1. Deposit
2. Trigger cancelled game round
3. Review refund and balance</t>
  </si>
  <si>
    <t>€20 deposit + cancelled round</t>
  </si>
  <si>
    <t>Final balance equals opening balance plus deposit plus refund rules without duplication</t>
  </si>
  <si>
    <t>Refund lifecycle</t>
  </si>
  <si>
    <t>WAL-E2E-003</t>
  </si>
  <si>
    <t>Deposit to withdrawal flow enforces KYC and balance rules end-to-end</t>
  </si>
  <si>
    <t>Player exists with configurable KYC state</t>
  </si>
  <si>
    <t>1. Deposit
2. Attempt withdrawal
3. Review outcome</t>
  </si>
  <si>
    <t>verified and unverified player variants</t>
  </si>
  <si>
    <t>System enforces KYC and balance logic correctly through full flow</t>
  </si>
  <si>
    <t>Compliance-aware wallet flow</t>
  </si>
  <si>
    <t>WAL-E2E-004</t>
  </si>
  <si>
    <t>Logout and re-login preserves transaction history and latest balance</t>
  </si>
  <si>
    <t>Player completed prior wallet actions</t>
  </si>
  <si>
    <t>1. Perform wallet action
2. Log out
3. Log back in
4. Review wallet</t>
  </si>
  <si>
    <t>recent wallet transactions</t>
  </si>
  <si>
    <t>Previously saved wallet data remains visible and accurate after new session</t>
  </si>
  <si>
    <t>Session persistence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</si>
</sst>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i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B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5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left"/>
    </xf>
    <xf numFmtId="0" fontId="3" fillId="3" borderId="0" xfId="0" applyFont="1" applyFill="1" applyAlignment="1">
      <alignment wrapText="1"/>
    </xf>
    <xf numFmtId="0" fontId="3" fillId="6" borderId="0" xfId="0" applyFont="1" applyFill="1" applyAlignment="1">
      <alignment wrapText="1"/>
    </xf>
  </cellXfs>
  <cellStyles count="1">
    <cellStyle name="Normal" xfId="0" builtinId="0"/>
  </cellStyles>
  <dxfs count="36"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28</xdr:row>
      <xdr:rowOff>106680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2A12F275-6081-6D7E-5202-98F5DC6C758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28</xdr:row>
      <xdr:rowOff>106680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B2CD4D9E-9C4D-8307-7630-6F334FB7A1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28</xdr:row>
      <xdr:rowOff>106680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04E7F1FB-D417-D25C-19F8-8D2127C96D4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933EE745-2D8B-432D-F7D6-233DE96FC9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274B5121-D70D-1CC5-9DD5-D1DA321D15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32</xdr:row>
      <xdr:rowOff>76200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37FF2709-9C30-28ED-10EC-ADC74904B7B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workbookViewId="0">
      <selection sqref="A1:C1"/>
    </sheetView>
  </sheetViews>
  <sheetFormatPr defaultRowHeight="14.4" x14ac:dyDescent="0.3"/>
  <cols>
    <col min="1" max="1" width="24" customWidth="1"/>
    <col min="2" max="2" width="50" customWidth="1"/>
    <col min="3" max="3" width="48" customWidth="1"/>
  </cols>
  <sheetData>
    <row r="1" spans="1:3" ht="22.05" customHeight="1" x14ac:dyDescent="0.3">
      <c r="A1" s="10" t="s">
        <v>0</v>
      </c>
      <c r="B1" s="11"/>
      <c r="C1" s="11"/>
    </row>
    <row r="3" spans="1:3" ht="57.6" x14ac:dyDescent="0.3">
      <c r="A3" s="1" t="s">
        <v>1</v>
      </c>
      <c r="B3" s="2" t="s">
        <v>2</v>
      </c>
    </row>
    <row r="4" spans="1:3" ht="43.2" x14ac:dyDescent="0.3">
      <c r="A4" s="1" t="s">
        <v>3</v>
      </c>
      <c r="B4" s="2" t="s">
        <v>4</v>
      </c>
    </row>
    <row r="5" spans="1:3" ht="57.6" x14ac:dyDescent="0.3">
      <c r="A5" s="1" t="s">
        <v>5</v>
      </c>
      <c r="B5" s="2" t="s">
        <v>6</v>
      </c>
    </row>
    <row r="6" spans="1:3" x14ac:dyDescent="0.3">
      <c r="A6" s="1" t="s">
        <v>7</v>
      </c>
      <c r="B6" s="2" t="s">
        <v>8</v>
      </c>
    </row>
    <row r="7" spans="1:3" x14ac:dyDescent="0.3">
      <c r="A7" s="1" t="s">
        <v>9</v>
      </c>
      <c r="B7" s="2" t="s">
        <v>10</v>
      </c>
    </row>
    <row r="8" spans="1:3" x14ac:dyDescent="0.3">
      <c r="A8" s="1" t="s">
        <v>11</v>
      </c>
      <c r="B8" s="2" t="s">
        <v>12</v>
      </c>
    </row>
    <row r="9" spans="1:3" ht="28.8" x14ac:dyDescent="0.3">
      <c r="A9" s="1" t="s">
        <v>13</v>
      </c>
      <c r="B9" s="2" t="s">
        <v>14</v>
      </c>
    </row>
    <row r="11" spans="1:3" ht="28.05" customHeight="1" x14ac:dyDescent="0.3">
      <c r="A11" s="3" t="s">
        <v>15</v>
      </c>
      <c r="B11" s="3" t="s">
        <v>16</v>
      </c>
      <c r="C11" s="3" t="s">
        <v>17</v>
      </c>
    </row>
    <row r="12" spans="1:3" ht="28.8" x14ac:dyDescent="0.3">
      <c r="A12" s="2" t="s">
        <v>18</v>
      </c>
      <c r="B12" s="2" t="s">
        <v>19</v>
      </c>
      <c r="C12" s="2" t="s">
        <v>20</v>
      </c>
    </row>
    <row r="13" spans="1:3" x14ac:dyDescent="0.3">
      <c r="A13" s="2" t="s">
        <v>21</v>
      </c>
      <c r="B13" s="2" t="s">
        <v>22</v>
      </c>
      <c r="C13" s="2" t="s">
        <v>23</v>
      </c>
    </row>
    <row r="14" spans="1:3" ht="28.8" x14ac:dyDescent="0.3">
      <c r="A14" s="2" t="s">
        <v>24</v>
      </c>
      <c r="B14" s="2" t="s">
        <v>25</v>
      </c>
      <c r="C14" s="2" t="s">
        <v>26</v>
      </c>
    </row>
    <row r="15" spans="1:3" ht="28.8" x14ac:dyDescent="0.3">
      <c r="A15" s="2" t="s">
        <v>27</v>
      </c>
      <c r="B15" s="2" t="s">
        <v>28</v>
      </c>
      <c r="C15" s="2" t="s">
        <v>29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workbookViewId="0">
      <selection sqref="A1:F1"/>
    </sheetView>
  </sheetViews>
  <sheetFormatPr defaultRowHeight="14.4" x14ac:dyDescent="0.3"/>
  <cols>
    <col min="1" max="2" width="26" customWidth="1"/>
    <col min="3" max="3" width="10" customWidth="1"/>
    <col min="4" max="4" width="22" customWidth="1"/>
    <col min="5" max="5" width="14" customWidth="1"/>
    <col min="6" max="6" width="18" customWidth="1"/>
  </cols>
  <sheetData>
    <row r="1" spans="1:6" ht="22.05" customHeight="1" x14ac:dyDescent="0.3">
      <c r="A1" s="10" t="s">
        <v>30</v>
      </c>
      <c r="B1" s="11"/>
      <c r="C1" s="11"/>
      <c r="D1" s="11"/>
      <c r="E1" s="11"/>
      <c r="F1" s="11"/>
    </row>
    <row r="3" spans="1:6" ht="37.950000000000003" customHeight="1" x14ac:dyDescent="0.3">
      <c r="A3" s="13" t="s">
        <v>31</v>
      </c>
      <c r="B3" s="11"/>
      <c r="C3" s="11"/>
      <c r="D3" s="11"/>
      <c r="E3" s="11"/>
      <c r="F3" s="11"/>
    </row>
    <row r="5" spans="1:6" x14ac:dyDescent="0.3">
      <c r="A5" s="12" t="s">
        <v>32</v>
      </c>
      <c r="B5" s="11"/>
      <c r="C5" s="11"/>
      <c r="D5" s="11"/>
      <c r="E5" s="11"/>
      <c r="F5" s="11"/>
    </row>
    <row r="6" spans="1:6" x14ac:dyDescent="0.3">
      <c r="A6" s="4" t="s">
        <v>33</v>
      </c>
      <c r="B6" s="5" t="s">
        <v>8</v>
      </c>
    </row>
    <row r="7" spans="1:6" x14ac:dyDescent="0.3">
      <c r="A7" s="4" t="s">
        <v>34</v>
      </c>
      <c r="B7" s="5" t="s">
        <v>10</v>
      </c>
    </row>
    <row r="8" spans="1:6" x14ac:dyDescent="0.3">
      <c r="A8" s="4" t="s">
        <v>35</v>
      </c>
      <c r="B8" s="5" t="s">
        <v>36</v>
      </c>
    </row>
    <row r="9" spans="1:6" ht="28.8" x14ac:dyDescent="0.3">
      <c r="A9" s="4" t="s">
        <v>37</v>
      </c>
      <c r="B9" s="5" t="s">
        <v>12</v>
      </c>
    </row>
    <row r="11" spans="1:6" x14ac:dyDescent="0.3">
      <c r="A11" s="12" t="s">
        <v>38</v>
      </c>
      <c r="B11" s="11"/>
      <c r="C11" s="11"/>
      <c r="D11" s="11"/>
      <c r="E11" s="11"/>
      <c r="F11" s="11"/>
    </row>
    <row r="12" spans="1:6" ht="28.05" customHeight="1" x14ac:dyDescent="0.3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43</v>
      </c>
      <c r="F12" s="3" t="s">
        <v>44</v>
      </c>
    </row>
    <row r="13" spans="1:6" x14ac:dyDescent="0.3">
      <c r="A13" s="6" t="s">
        <v>45</v>
      </c>
      <c r="B13" s="6" t="s">
        <v>46</v>
      </c>
      <c r="C13" s="6">
        <f>COUNTA('10_Wallet_Account_Access'!A:A)-2</f>
        <v>6</v>
      </c>
      <c r="D13" s="6">
        <f>COUNTIF('10_Wallet_Account_Access'!H:H,"Critical")+COUNTIF('10_Wallet_Account_Access'!H:H,"High")</f>
        <v>6</v>
      </c>
      <c r="E13" s="6">
        <f>COUNTIF('10_Wallet_Account_Access'!I:I,"Negative")</f>
        <v>2</v>
      </c>
      <c r="F13" s="6">
        <f>COUNTIF('10_Wallet_Account_Access'!J:J,"Yes")</f>
        <v>3</v>
      </c>
    </row>
    <row r="14" spans="1:6" x14ac:dyDescent="0.3">
      <c r="A14" s="6" t="s">
        <v>47</v>
      </c>
      <c r="B14" s="6" t="s">
        <v>48</v>
      </c>
      <c r="C14" s="6">
        <f>COUNTA('20_Deposit_Flows'!A:A)-2</f>
        <v>6</v>
      </c>
      <c r="D14" s="6">
        <f>COUNTIF('20_Deposit_Flows'!H:H,"Critical")+COUNTIF('20_Deposit_Flows'!H:H,"High")</f>
        <v>6</v>
      </c>
      <c r="E14" s="6">
        <f>COUNTIF('20_Deposit_Flows'!I:I,"Negative")</f>
        <v>3</v>
      </c>
      <c r="F14" s="6">
        <f>COUNTIF('20_Deposit_Flows'!J:J,"Yes")</f>
        <v>3</v>
      </c>
    </row>
    <row r="15" spans="1:6" x14ac:dyDescent="0.3">
      <c r="A15" s="6" t="s">
        <v>49</v>
      </c>
      <c r="B15" s="6" t="s">
        <v>50</v>
      </c>
      <c r="C15" s="6">
        <f>COUNTA('30_Withdrawal_Flows'!A:A)-2</f>
        <v>6</v>
      </c>
      <c r="D15" s="6">
        <f>COUNTIF('30_Withdrawal_Flows'!H:H,"Critical")+COUNTIF('30_Withdrawal_Flows'!H:H,"High")</f>
        <v>5</v>
      </c>
      <c r="E15" s="6">
        <f>COUNTIF('30_Withdrawal_Flows'!I:I,"Negative")</f>
        <v>2</v>
      </c>
      <c r="F15" s="6">
        <f>COUNTIF('30_Withdrawal_Flows'!J:J,"Yes")</f>
        <v>2</v>
      </c>
    </row>
    <row r="16" spans="1:6" x14ac:dyDescent="0.3">
      <c r="A16" s="6" t="s">
        <v>51</v>
      </c>
      <c r="B16" s="6" t="s">
        <v>52</v>
      </c>
      <c r="C16" s="6">
        <f>COUNTA('40_Transfer_Refunds'!A:A)-2</f>
        <v>5</v>
      </c>
      <c r="D16" s="6">
        <f>COUNTIF('40_Transfer_Refunds'!H:H,"Critical")+COUNTIF('40_Transfer_Refunds'!H:H,"High")</f>
        <v>4</v>
      </c>
      <c r="E16" s="6">
        <f>COUNTIF('40_Transfer_Refunds'!I:I,"Negative")</f>
        <v>1</v>
      </c>
      <c r="F16" s="6">
        <f>COUNTIF('40_Transfer_Refunds'!J:J,"Yes")</f>
        <v>1</v>
      </c>
    </row>
    <row r="17" spans="1:6" x14ac:dyDescent="0.3">
      <c r="A17" s="6" t="s">
        <v>53</v>
      </c>
      <c r="B17" s="6" t="s">
        <v>54</v>
      </c>
      <c r="C17" s="6">
        <f>COUNTA('50_Balance_Reconciliation'!A:A)-2</f>
        <v>5</v>
      </c>
      <c r="D17" s="6">
        <f>COUNTIF('50_Balance_Reconciliation'!H:H,"Critical")+COUNTIF('50_Balance_Reconciliation'!H:H,"High")</f>
        <v>5</v>
      </c>
      <c r="E17" s="6">
        <f>COUNTIF('50_Balance_Reconciliation'!I:I,"Negative")</f>
        <v>1</v>
      </c>
      <c r="F17" s="6">
        <f>COUNTIF('50_Balance_Reconciliation'!J:J,"Yes")</f>
        <v>0</v>
      </c>
    </row>
    <row r="18" spans="1:6" x14ac:dyDescent="0.3">
      <c r="A18" s="6" t="s">
        <v>55</v>
      </c>
      <c r="B18" s="6" t="s">
        <v>56</v>
      </c>
      <c r="C18" s="6">
        <f>COUNTA('60_Wallet_E2E'!A:A)-2</f>
        <v>4</v>
      </c>
      <c r="D18" s="6">
        <f>COUNTIF('60_Wallet_E2E'!H:H,"Critical")+COUNTIF('60_Wallet_E2E'!H:H,"High")</f>
        <v>4</v>
      </c>
      <c r="E18" s="6">
        <f>COUNTIF('60_Wallet_E2E'!I:I,"Negative")</f>
        <v>0</v>
      </c>
      <c r="F18" s="6">
        <f>COUNTIF('60_Wallet_E2E'!J:J,"Yes")</f>
        <v>0</v>
      </c>
    </row>
    <row r="19" spans="1:6" x14ac:dyDescent="0.3">
      <c r="A19" s="7" t="s">
        <v>57</v>
      </c>
      <c r="B19" s="7"/>
      <c r="C19" s="7">
        <f>SUM(C13:C18)</f>
        <v>32</v>
      </c>
      <c r="D19" s="7">
        <f>SUM(D13:D18)</f>
        <v>30</v>
      </c>
      <c r="E19" s="7">
        <f>SUM(E13:E18)</f>
        <v>9</v>
      </c>
      <c r="F19" s="7">
        <f>SUM(F13:F18)</f>
        <v>9</v>
      </c>
    </row>
    <row r="22" spans="1:6" x14ac:dyDescent="0.3">
      <c r="A22" s="12" t="s">
        <v>58</v>
      </c>
      <c r="B22" s="11"/>
      <c r="C22" s="11"/>
      <c r="D22" s="11"/>
      <c r="E22" s="11"/>
      <c r="F22" s="11"/>
    </row>
    <row r="23" spans="1:6" ht="28.05" customHeight="1" x14ac:dyDescent="0.3">
      <c r="A23" s="3" t="s">
        <v>59</v>
      </c>
      <c r="B23" s="3" t="s">
        <v>60</v>
      </c>
      <c r="C23" s="3" t="s">
        <v>61</v>
      </c>
      <c r="D23" s="3" t="s">
        <v>62</v>
      </c>
      <c r="E23" s="3" t="s">
        <v>63</v>
      </c>
    </row>
    <row r="24" spans="1:6" x14ac:dyDescent="0.3">
      <c r="A24" s="8" t="s">
        <v>8</v>
      </c>
      <c r="B24" s="8">
        <f>COUNTIF('10_Wallet_Account_Access'!K:K,"Not Run")+COUNTIF('20_Deposit_Flows'!K:K,"Not Run")+COUNTIF('30_Withdrawal_Flows'!K:K,"Not Run")+COUNTIF('40_Transfer_Refunds'!K:K,"Not Run")+COUNTIF('50_Balance_Reconciliation'!K:K,"Not Run")+COUNTIF('60_Wallet_E2E'!K:K,"Not Run")</f>
        <v>32</v>
      </c>
      <c r="D24" s="8" t="s">
        <v>64</v>
      </c>
      <c r="E24" s="8">
        <f>C19</f>
        <v>32</v>
      </c>
    </row>
    <row r="25" spans="1:6" x14ac:dyDescent="0.3">
      <c r="A25" s="8" t="s">
        <v>65</v>
      </c>
      <c r="B25" s="8">
        <f>COUNTIF('10_Wallet_Account_Access'!K:K,"Pass")+COUNTIF('20_Deposit_Flows'!K:K,"Pass")+COUNTIF('30_Withdrawal_Flows'!K:K,"Pass")+COUNTIF('40_Transfer_Refunds'!K:K,"Pass")+COUNTIF('50_Balance_Reconciliation'!K:K,"Pass")+COUNTIF('60_Wallet_E2E'!K:K,"Pass")</f>
        <v>0</v>
      </c>
      <c r="D25" s="8" t="s">
        <v>66</v>
      </c>
      <c r="E25" s="8">
        <f>SUM(B25:B27)</f>
        <v>0</v>
      </c>
    </row>
    <row r="26" spans="1:6" x14ac:dyDescent="0.3">
      <c r="A26" s="8" t="s">
        <v>67</v>
      </c>
      <c r="B26" s="8">
        <f>COUNTIF('10_Wallet_Account_Access'!K:K,"Fail")+COUNTIF('20_Deposit_Flows'!K:K,"Fail")+COUNTIF('30_Withdrawal_Flows'!K:K,"Fail")+COUNTIF('40_Transfer_Refunds'!K:K,"Fail")+COUNTIF('50_Balance_Reconciliation'!K:K,"Fail")+COUNTIF('60_Wallet_E2E'!K:K,"Fail")</f>
        <v>0</v>
      </c>
      <c r="D26" s="8" t="s">
        <v>68</v>
      </c>
      <c r="E26" s="9">
        <f>IFERROR(E25/E24,0)</f>
        <v>0</v>
      </c>
    </row>
    <row r="27" spans="1:6" x14ac:dyDescent="0.3">
      <c r="A27" s="8" t="s">
        <v>69</v>
      </c>
      <c r="B27" s="8">
        <f>COUNTIF('10_Wallet_Account_Access'!K:K,"Blocked")+COUNTIF('20_Deposit_Flows'!K:K,"Blocked")+COUNTIF('30_Withdrawal_Flows'!K:K,"Blocked")+COUNTIF('40_Transfer_Refunds'!K:K,"Blocked")+COUNTIF('50_Balance_Reconciliation'!K:K,"Blocked")+COUNTIF('60_Wallet_E2E'!K:K,"Blocked")</f>
        <v>0</v>
      </c>
      <c r="D27" s="8" t="s">
        <v>70</v>
      </c>
      <c r="E27" s="9">
        <f>IFERROR(B25/E25,0)</f>
        <v>0</v>
      </c>
    </row>
    <row r="28" spans="1:6" x14ac:dyDescent="0.3">
      <c r="D28" s="8" t="s">
        <v>71</v>
      </c>
      <c r="E28" s="9">
        <f>IFERROR(B26/E25,0)</f>
        <v>0</v>
      </c>
    </row>
  </sheetData>
  <mergeCells count="5">
    <mergeCell ref="A11:F11"/>
    <mergeCell ref="A1:F1"/>
    <mergeCell ref="A5:F5"/>
    <mergeCell ref="A22:F2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14" bestFit="1" customWidth="1"/>
    <col min="2" max="2" width="20.44140625" bestFit="1" customWidth="1"/>
    <col min="3" max="3" width="47.88671875" bestFit="1" customWidth="1"/>
    <col min="4" max="4" width="33.6640625" bestFit="1" customWidth="1"/>
    <col min="5" max="5" width="38.109375" bestFit="1" customWidth="1"/>
    <col min="6" max="6" width="29.33203125" bestFit="1" customWidth="1"/>
    <col min="7" max="7" width="43" bestFit="1" customWidth="1"/>
    <col min="8" max="8" width="7.33203125" bestFit="1" customWidth="1"/>
    <col min="9" max="9" width="8.77734375" bestFit="1" customWidth="1"/>
    <col min="10" max="10" width="20.77734375" bestFit="1" customWidth="1"/>
    <col min="11" max="11" width="7.88671875" bestFit="1" customWidth="1"/>
    <col min="12" max="12" width="20.777343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83</v>
      </c>
      <c r="B3" s="6" t="s">
        <v>45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92</v>
      </c>
    </row>
    <row r="4" spans="1:12" ht="42" customHeight="1" x14ac:dyDescent="0.3">
      <c r="A4" s="6" t="s">
        <v>93</v>
      </c>
      <c r="B4" s="6" t="s">
        <v>45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10</v>
      </c>
      <c r="I4" s="6" t="s">
        <v>99</v>
      </c>
      <c r="J4" s="6" t="s">
        <v>91</v>
      </c>
      <c r="K4" s="6" t="s">
        <v>8</v>
      </c>
      <c r="L4" s="6" t="s">
        <v>100</v>
      </c>
    </row>
    <row r="5" spans="1:12" ht="42" customHeight="1" x14ac:dyDescent="0.3">
      <c r="A5" s="6" t="s">
        <v>101</v>
      </c>
      <c r="B5" s="6" t="s">
        <v>45</v>
      </c>
      <c r="C5" s="6" t="s">
        <v>102</v>
      </c>
      <c r="D5" s="6" t="s">
        <v>103</v>
      </c>
      <c r="E5" s="6" t="s">
        <v>104</v>
      </c>
      <c r="F5" s="6" t="s">
        <v>105</v>
      </c>
      <c r="G5" s="6" t="s">
        <v>106</v>
      </c>
      <c r="H5" s="6" t="s">
        <v>10</v>
      </c>
      <c r="I5" s="6" t="s">
        <v>107</v>
      </c>
      <c r="J5" s="6" t="s">
        <v>108</v>
      </c>
      <c r="K5" s="6" t="s">
        <v>8</v>
      </c>
      <c r="L5" s="6" t="s">
        <v>109</v>
      </c>
    </row>
    <row r="6" spans="1:12" ht="42" customHeight="1" x14ac:dyDescent="0.3">
      <c r="A6" s="6" t="s">
        <v>110</v>
      </c>
      <c r="B6" s="6" t="s">
        <v>45</v>
      </c>
      <c r="C6" s="6" t="s">
        <v>111</v>
      </c>
      <c r="D6" s="6" t="s">
        <v>112</v>
      </c>
      <c r="E6" s="6" t="s">
        <v>113</v>
      </c>
      <c r="F6" s="6" t="s">
        <v>114</v>
      </c>
      <c r="G6" s="6" t="s">
        <v>115</v>
      </c>
      <c r="H6" s="6" t="s">
        <v>10</v>
      </c>
      <c r="I6" s="6" t="s">
        <v>107</v>
      </c>
      <c r="J6" s="6" t="s">
        <v>108</v>
      </c>
      <c r="K6" s="6" t="s">
        <v>8</v>
      </c>
      <c r="L6" s="6" t="s">
        <v>116</v>
      </c>
    </row>
    <row r="7" spans="1:12" ht="42" customHeight="1" x14ac:dyDescent="0.3">
      <c r="A7" s="6" t="s">
        <v>117</v>
      </c>
      <c r="B7" s="6" t="s">
        <v>45</v>
      </c>
      <c r="C7" s="6" t="s">
        <v>118</v>
      </c>
      <c r="D7" s="6" t="s">
        <v>119</v>
      </c>
      <c r="E7" s="6" t="s">
        <v>120</v>
      </c>
      <c r="F7" s="6" t="s">
        <v>121</v>
      </c>
      <c r="G7" s="6" t="s">
        <v>122</v>
      </c>
      <c r="H7" s="6" t="s">
        <v>10</v>
      </c>
      <c r="I7" s="6" t="s">
        <v>107</v>
      </c>
      <c r="J7" s="6" t="s">
        <v>91</v>
      </c>
      <c r="K7" s="6" t="s">
        <v>8</v>
      </c>
      <c r="L7" s="6" t="s">
        <v>123</v>
      </c>
    </row>
    <row r="8" spans="1:12" ht="42" customHeight="1" x14ac:dyDescent="0.3">
      <c r="A8" s="6" t="s">
        <v>124</v>
      </c>
      <c r="B8" s="6" t="s">
        <v>45</v>
      </c>
      <c r="C8" s="6" t="s">
        <v>125</v>
      </c>
      <c r="D8" s="6" t="s">
        <v>126</v>
      </c>
      <c r="E8" s="6" t="s">
        <v>127</v>
      </c>
      <c r="F8" s="6" t="s">
        <v>128</v>
      </c>
      <c r="G8" s="6" t="s">
        <v>129</v>
      </c>
      <c r="H8" s="6" t="s">
        <v>89</v>
      </c>
      <c r="I8" s="6" t="s">
        <v>99</v>
      </c>
      <c r="J8" s="6" t="s">
        <v>108</v>
      </c>
      <c r="K8" s="6" t="s">
        <v>8</v>
      </c>
      <c r="L8" s="6" t="s">
        <v>130</v>
      </c>
    </row>
  </sheetData>
  <mergeCells count="1">
    <mergeCell ref="A1:L1"/>
  </mergeCells>
  <conditionalFormatting sqref="H3:H8">
    <cfRule type="expression" dxfId="35" priority="5">
      <formula>H3="Critical"</formula>
    </cfRule>
    <cfRule type="expression" dxfId="34" priority="6">
      <formula>H3="High"</formula>
    </cfRule>
  </conditionalFormatting>
  <conditionalFormatting sqref="K3:K8">
    <cfRule type="expression" dxfId="33" priority="1">
      <formula>K3="Pass"</formula>
    </cfRule>
    <cfRule type="expression" dxfId="32" priority="2">
      <formula>K3="Fail"</formula>
    </cfRule>
    <cfRule type="expression" dxfId="31" priority="3">
      <formula>K3="Blocked"</formula>
    </cfRule>
    <cfRule type="expression" dxfId="30" priority="4">
      <formula>K3="Not Run"</formula>
    </cfRule>
  </conditionalFormatting>
  <dataValidations count="4">
    <dataValidation type="list" sqref="K3:K8" xr:uid="{00000000-0002-0000-0200-000000000000}">
      <formula1>"Not Run,Pass,Fail,Blocked"</formula1>
    </dataValidation>
    <dataValidation type="list" sqref="H3:H8" xr:uid="{00000000-0002-0000-0200-000001000000}">
      <formula1>"Critical,High,Medium,Low"</formula1>
    </dataValidation>
    <dataValidation type="list" sqref="I3:I8" xr:uid="{00000000-0002-0000-0200-000002000000}">
      <formula1>"Positive,Negative,Regression,Integration,Security,Usability,E2E"</formula1>
    </dataValidation>
    <dataValidation type="list" sqref="J3:J8" xr:uid="{00000000-0002-0000-02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7.88671875" bestFit="1" customWidth="1"/>
    <col min="2" max="2" width="13.21875" bestFit="1" customWidth="1"/>
    <col min="3" max="3" width="47.5546875" bestFit="1" customWidth="1"/>
    <col min="4" max="4" width="31.88671875" bestFit="1" customWidth="1"/>
    <col min="5" max="5" width="40.44140625" bestFit="1" customWidth="1"/>
    <col min="6" max="6" width="30" customWidth="1"/>
    <col min="7" max="7" width="44" customWidth="1"/>
    <col min="8" max="8" width="7.3320312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21.777343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131</v>
      </c>
      <c r="B3" s="6" t="s">
        <v>47</v>
      </c>
      <c r="C3" s="6" t="s">
        <v>132</v>
      </c>
      <c r="D3" s="6" t="s">
        <v>133</v>
      </c>
      <c r="E3" s="6" t="s">
        <v>134</v>
      </c>
      <c r="F3" s="6" t="s">
        <v>135</v>
      </c>
      <c r="G3" s="6" t="s">
        <v>136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137</v>
      </c>
    </row>
    <row r="4" spans="1:12" ht="42" customHeight="1" x14ac:dyDescent="0.3">
      <c r="A4" s="6" t="s">
        <v>138</v>
      </c>
      <c r="B4" s="6" t="s">
        <v>47</v>
      </c>
      <c r="C4" s="6" t="s">
        <v>139</v>
      </c>
      <c r="D4" s="6" t="s">
        <v>112</v>
      </c>
      <c r="E4" s="6" t="s">
        <v>140</v>
      </c>
      <c r="F4" s="6" t="s">
        <v>141</v>
      </c>
      <c r="G4" s="6" t="s">
        <v>142</v>
      </c>
      <c r="H4" s="6" t="s">
        <v>89</v>
      </c>
      <c r="I4" s="6" t="s">
        <v>99</v>
      </c>
      <c r="J4" s="6" t="s">
        <v>91</v>
      </c>
      <c r="K4" s="6" t="s">
        <v>8</v>
      </c>
      <c r="L4" s="6" t="s">
        <v>143</v>
      </c>
    </row>
    <row r="5" spans="1:12" ht="42" customHeight="1" x14ac:dyDescent="0.3">
      <c r="A5" s="6" t="s">
        <v>144</v>
      </c>
      <c r="B5" s="6" t="s">
        <v>47</v>
      </c>
      <c r="C5" s="6" t="s">
        <v>145</v>
      </c>
      <c r="D5" s="6" t="s">
        <v>112</v>
      </c>
      <c r="E5" s="6" t="s">
        <v>146</v>
      </c>
      <c r="F5" s="6" t="s">
        <v>147</v>
      </c>
      <c r="G5" s="6" t="s">
        <v>148</v>
      </c>
      <c r="H5" s="6" t="s">
        <v>10</v>
      </c>
      <c r="I5" s="6" t="s">
        <v>99</v>
      </c>
      <c r="J5" s="6" t="s">
        <v>91</v>
      </c>
      <c r="K5" s="6" t="s">
        <v>8</v>
      </c>
      <c r="L5" s="6" t="s">
        <v>149</v>
      </c>
    </row>
    <row r="6" spans="1:12" ht="42" customHeight="1" x14ac:dyDescent="0.3">
      <c r="A6" s="6" t="s">
        <v>150</v>
      </c>
      <c r="B6" s="6" t="s">
        <v>47</v>
      </c>
      <c r="C6" s="6" t="s">
        <v>151</v>
      </c>
      <c r="D6" s="6" t="s">
        <v>152</v>
      </c>
      <c r="E6" s="6" t="s">
        <v>153</v>
      </c>
      <c r="F6" s="6" t="s">
        <v>154</v>
      </c>
      <c r="G6" s="6" t="s">
        <v>155</v>
      </c>
      <c r="H6" s="6" t="s">
        <v>89</v>
      </c>
      <c r="I6" s="6" t="s">
        <v>156</v>
      </c>
      <c r="J6" s="6" t="s">
        <v>108</v>
      </c>
      <c r="K6" s="6" t="s">
        <v>8</v>
      </c>
      <c r="L6" s="6" t="s">
        <v>157</v>
      </c>
    </row>
    <row r="7" spans="1:12" ht="42" customHeight="1" x14ac:dyDescent="0.3">
      <c r="A7" s="6" t="s">
        <v>158</v>
      </c>
      <c r="B7" s="6" t="s">
        <v>47</v>
      </c>
      <c r="C7" s="6" t="s">
        <v>159</v>
      </c>
      <c r="D7" s="6" t="s">
        <v>160</v>
      </c>
      <c r="E7" s="6" t="s">
        <v>161</v>
      </c>
      <c r="F7" s="6" t="s">
        <v>162</v>
      </c>
      <c r="G7" s="6" t="s">
        <v>163</v>
      </c>
      <c r="H7" s="6" t="s">
        <v>10</v>
      </c>
      <c r="I7" s="6" t="s">
        <v>164</v>
      </c>
      <c r="J7" s="6" t="s">
        <v>108</v>
      </c>
      <c r="K7" s="6" t="s">
        <v>8</v>
      </c>
      <c r="L7" s="6" t="s">
        <v>165</v>
      </c>
    </row>
    <row r="8" spans="1:12" ht="42" customHeight="1" x14ac:dyDescent="0.3">
      <c r="A8" s="6" t="s">
        <v>166</v>
      </c>
      <c r="B8" s="6" t="s">
        <v>47</v>
      </c>
      <c r="C8" s="6" t="s">
        <v>167</v>
      </c>
      <c r="D8" s="6" t="s">
        <v>168</v>
      </c>
      <c r="E8" s="6" t="s">
        <v>169</v>
      </c>
      <c r="F8" s="6" t="s">
        <v>170</v>
      </c>
      <c r="G8" s="6" t="s">
        <v>171</v>
      </c>
      <c r="H8" s="6" t="s">
        <v>89</v>
      </c>
      <c r="I8" s="6" t="s">
        <v>99</v>
      </c>
      <c r="J8" s="6" t="s">
        <v>108</v>
      </c>
      <c r="K8" s="6" t="s">
        <v>8</v>
      </c>
      <c r="L8" s="6" t="s">
        <v>172</v>
      </c>
    </row>
  </sheetData>
  <mergeCells count="1">
    <mergeCell ref="A1:L1"/>
  </mergeCells>
  <conditionalFormatting sqref="H3:H8">
    <cfRule type="expression" dxfId="29" priority="5">
      <formula>H3="Critical"</formula>
    </cfRule>
    <cfRule type="expression" dxfId="28" priority="6">
      <formula>H3="High"</formula>
    </cfRule>
  </conditionalFormatting>
  <conditionalFormatting sqref="K3:K8">
    <cfRule type="expression" dxfId="27" priority="1">
      <formula>K3="Pass"</formula>
    </cfRule>
    <cfRule type="expression" dxfId="26" priority="2">
      <formula>K3="Fail"</formula>
    </cfRule>
    <cfRule type="expression" dxfId="25" priority="3">
      <formula>K3="Blocked"</formula>
    </cfRule>
    <cfRule type="expression" dxfId="24" priority="4">
      <formula>K3="Not Run"</formula>
    </cfRule>
  </conditionalFormatting>
  <dataValidations count="4">
    <dataValidation type="list" sqref="K3:K8" xr:uid="{00000000-0002-0000-0300-000000000000}">
      <formula1>"Not Run,Pass,Fail,Blocked"</formula1>
    </dataValidation>
    <dataValidation type="list" sqref="H3:H8" xr:uid="{00000000-0002-0000-0300-000001000000}">
      <formula1>"Critical,High,Medium,Low"</formula1>
    </dataValidation>
    <dataValidation type="list" sqref="I3:I8" xr:uid="{00000000-0002-0000-0300-000002000000}">
      <formula1>"Positive,Negative,Regression,Integration,Security,Usability,E2E"</formula1>
    </dataValidation>
    <dataValidation type="list" sqref="J3:J8" xr:uid="{00000000-0002-0000-03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showGridLines="0" topLeftCell="D1" workbookViewId="0">
      <selection sqref="A1:XFD1048576"/>
    </sheetView>
  </sheetViews>
  <sheetFormatPr defaultRowHeight="14.4" x14ac:dyDescent="0.3"/>
  <cols>
    <col min="1" max="1" width="8.77734375" bestFit="1" customWidth="1"/>
    <col min="2" max="2" width="16.5546875" bestFit="1" customWidth="1"/>
    <col min="3" max="3" width="47.77734375" bestFit="1" customWidth="1"/>
    <col min="4" max="4" width="37.21875" bestFit="1" customWidth="1"/>
    <col min="5" max="5" width="39.88671875" bestFit="1" customWidth="1"/>
    <col min="6" max="6" width="28.88671875" bestFit="1" customWidth="1"/>
    <col min="7" max="7" width="43.88671875" bestFit="1" customWidth="1"/>
    <col min="8" max="8" width="8.2187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19.4414062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173</v>
      </c>
      <c r="B3" s="6" t="s">
        <v>49</v>
      </c>
      <c r="C3" s="6" t="s">
        <v>174</v>
      </c>
      <c r="D3" s="6" t="s">
        <v>175</v>
      </c>
      <c r="E3" s="6" t="s">
        <v>176</v>
      </c>
      <c r="F3" s="6" t="s">
        <v>177</v>
      </c>
      <c r="G3" s="6" t="s">
        <v>178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179</v>
      </c>
    </row>
    <row r="4" spans="1:12" ht="42" customHeight="1" x14ac:dyDescent="0.3">
      <c r="A4" s="6" t="s">
        <v>180</v>
      </c>
      <c r="B4" s="6" t="s">
        <v>49</v>
      </c>
      <c r="C4" s="6" t="s">
        <v>181</v>
      </c>
      <c r="D4" s="6" t="s">
        <v>112</v>
      </c>
      <c r="E4" s="6" t="s">
        <v>182</v>
      </c>
      <c r="F4" s="6" t="s">
        <v>183</v>
      </c>
      <c r="G4" s="6" t="s">
        <v>184</v>
      </c>
      <c r="H4" s="6" t="s">
        <v>89</v>
      </c>
      <c r="I4" s="6" t="s">
        <v>99</v>
      </c>
      <c r="J4" s="6" t="s">
        <v>91</v>
      </c>
      <c r="K4" s="6" t="s">
        <v>8</v>
      </c>
      <c r="L4" s="6" t="s">
        <v>185</v>
      </c>
    </row>
    <row r="5" spans="1:12" ht="42" customHeight="1" x14ac:dyDescent="0.3">
      <c r="A5" s="6" t="s">
        <v>186</v>
      </c>
      <c r="B5" s="6" t="s">
        <v>49</v>
      </c>
      <c r="C5" s="6" t="s">
        <v>187</v>
      </c>
      <c r="D5" s="6" t="s">
        <v>188</v>
      </c>
      <c r="E5" s="6" t="s">
        <v>189</v>
      </c>
      <c r="F5" s="6" t="s">
        <v>190</v>
      </c>
      <c r="G5" s="6" t="s">
        <v>191</v>
      </c>
      <c r="H5" s="6" t="s">
        <v>89</v>
      </c>
      <c r="I5" s="6" t="s">
        <v>107</v>
      </c>
      <c r="J5" s="6" t="s">
        <v>108</v>
      </c>
      <c r="K5" s="6" t="s">
        <v>8</v>
      </c>
      <c r="L5" s="6" t="s">
        <v>192</v>
      </c>
    </row>
    <row r="6" spans="1:12" ht="42" customHeight="1" x14ac:dyDescent="0.3">
      <c r="A6" s="6" t="s">
        <v>193</v>
      </c>
      <c r="B6" s="6" t="s">
        <v>49</v>
      </c>
      <c r="C6" s="6" t="s">
        <v>194</v>
      </c>
      <c r="D6" s="6" t="s">
        <v>195</v>
      </c>
      <c r="E6" s="6" t="s">
        <v>196</v>
      </c>
      <c r="F6" s="6" t="s">
        <v>197</v>
      </c>
      <c r="G6" s="6" t="s">
        <v>198</v>
      </c>
      <c r="H6" s="6" t="s">
        <v>10</v>
      </c>
      <c r="I6" s="6" t="s">
        <v>156</v>
      </c>
      <c r="J6" s="6" t="s">
        <v>108</v>
      </c>
      <c r="K6" s="6" t="s">
        <v>8</v>
      </c>
      <c r="L6" s="6" t="s">
        <v>199</v>
      </c>
    </row>
    <row r="7" spans="1:12" ht="42" customHeight="1" x14ac:dyDescent="0.3">
      <c r="A7" s="6" t="s">
        <v>200</v>
      </c>
      <c r="B7" s="6" t="s">
        <v>49</v>
      </c>
      <c r="C7" s="6" t="s">
        <v>201</v>
      </c>
      <c r="D7" s="6" t="s">
        <v>202</v>
      </c>
      <c r="E7" s="6" t="s">
        <v>203</v>
      </c>
      <c r="F7" s="6" t="s">
        <v>204</v>
      </c>
      <c r="G7" s="6" t="s">
        <v>205</v>
      </c>
      <c r="H7" s="6" t="s">
        <v>206</v>
      </c>
      <c r="I7" s="6" t="s">
        <v>164</v>
      </c>
      <c r="J7" s="6" t="s">
        <v>108</v>
      </c>
      <c r="K7" s="6" t="s">
        <v>8</v>
      </c>
      <c r="L7" s="6" t="s">
        <v>207</v>
      </c>
    </row>
    <row r="8" spans="1:12" ht="42" customHeight="1" x14ac:dyDescent="0.3">
      <c r="A8" s="6" t="s">
        <v>208</v>
      </c>
      <c r="B8" s="6" t="s">
        <v>49</v>
      </c>
      <c r="C8" s="6" t="s">
        <v>209</v>
      </c>
      <c r="D8" s="6" t="s">
        <v>210</v>
      </c>
      <c r="E8" s="6" t="s">
        <v>211</v>
      </c>
      <c r="F8" s="6" t="s">
        <v>212</v>
      </c>
      <c r="G8" s="6" t="s">
        <v>213</v>
      </c>
      <c r="H8" s="6" t="s">
        <v>89</v>
      </c>
      <c r="I8" s="6" t="s">
        <v>99</v>
      </c>
      <c r="J8" s="6" t="s">
        <v>108</v>
      </c>
      <c r="K8" s="6" t="s">
        <v>8</v>
      </c>
      <c r="L8" s="6" t="s">
        <v>214</v>
      </c>
    </row>
  </sheetData>
  <mergeCells count="1">
    <mergeCell ref="A1:L1"/>
  </mergeCells>
  <conditionalFormatting sqref="H3:H8">
    <cfRule type="expression" dxfId="23" priority="5">
      <formula>H3="Critical"</formula>
    </cfRule>
    <cfRule type="expression" dxfId="22" priority="6">
      <formula>H3="High"</formula>
    </cfRule>
  </conditionalFormatting>
  <conditionalFormatting sqref="K3:K8">
    <cfRule type="expression" dxfId="21" priority="1">
      <formula>K3="Pass"</formula>
    </cfRule>
    <cfRule type="expression" dxfId="20" priority="2">
      <formula>K3="Fail"</formula>
    </cfRule>
    <cfRule type="expression" dxfId="19" priority="3">
      <formula>K3="Blocked"</formula>
    </cfRule>
    <cfRule type="expression" dxfId="18" priority="4">
      <formula>K3="Not Run"</formula>
    </cfRule>
  </conditionalFormatting>
  <dataValidations count="4">
    <dataValidation type="list" sqref="K3:K8" xr:uid="{00000000-0002-0000-0400-000000000000}">
      <formula1>"Not Run,Pass,Fail,Blocked"</formula1>
    </dataValidation>
    <dataValidation type="list" sqref="H3:H8" xr:uid="{00000000-0002-0000-0400-000001000000}">
      <formula1>"Critical,High,Medium,Low"</formula1>
    </dataValidation>
    <dataValidation type="list" sqref="I3:I8" xr:uid="{00000000-0002-0000-0400-000002000000}">
      <formula1>"Positive,Negative,Regression,Integration,Security,Usability,E2E"</formula1>
    </dataValidation>
    <dataValidation type="list" sqref="J3:J8" xr:uid="{00000000-0002-0000-04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showGridLines="0" topLeftCell="D1" workbookViewId="0">
      <selection sqref="A1:XFD1048576"/>
    </sheetView>
  </sheetViews>
  <sheetFormatPr defaultRowHeight="14.4" x14ac:dyDescent="0.3"/>
  <cols>
    <col min="1" max="1" width="7.6640625" bestFit="1" customWidth="1"/>
    <col min="2" max="2" width="17.6640625" bestFit="1" customWidth="1"/>
    <col min="3" max="3" width="48" customWidth="1"/>
    <col min="4" max="4" width="34" customWidth="1"/>
    <col min="5" max="5" width="38" bestFit="1" customWidth="1"/>
    <col min="6" max="6" width="29.21875" bestFit="1" customWidth="1"/>
    <col min="7" max="7" width="43.109375" bestFit="1" customWidth="1"/>
    <col min="8" max="8" width="8.2187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21.664062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215</v>
      </c>
      <c r="B3" s="6" t="s">
        <v>51</v>
      </c>
      <c r="C3" s="6" t="s">
        <v>216</v>
      </c>
      <c r="D3" s="6" t="s">
        <v>217</v>
      </c>
      <c r="E3" s="6" t="s">
        <v>218</v>
      </c>
      <c r="F3" s="6" t="s">
        <v>219</v>
      </c>
      <c r="G3" s="6" t="s">
        <v>220</v>
      </c>
      <c r="H3" s="6" t="s">
        <v>10</v>
      </c>
      <c r="I3" s="6" t="s">
        <v>156</v>
      </c>
      <c r="J3" s="6" t="s">
        <v>108</v>
      </c>
      <c r="K3" s="6" t="s">
        <v>8</v>
      </c>
      <c r="L3" s="6" t="s">
        <v>221</v>
      </c>
    </row>
    <row r="4" spans="1:12" ht="42" customHeight="1" x14ac:dyDescent="0.3">
      <c r="A4" s="6" t="s">
        <v>222</v>
      </c>
      <c r="B4" s="6" t="s">
        <v>51</v>
      </c>
      <c r="C4" s="6" t="s">
        <v>223</v>
      </c>
      <c r="D4" s="6" t="s">
        <v>224</v>
      </c>
      <c r="E4" s="6" t="s">
        <v>225</v>
      </c>
      <c r="F4" s="6" t="s">
        <v>226</v>
      </c>
      <c r="G4" s="6" t="s">
        <v>227</v>
      </c>
      <c r="H4" s="6" t="s">
        <v>89</v>
      </c>
      <c r="I4" s="6" t="s">
        <v>156</v>
      </c>
      <c r="J4" s="6" t="s">
        <v>108</v>
      </c>
      <c r="K4" s="6" t="s">
        <v>8</v>
      </c>
      <c r="L4" s="6" t="s">
        <v>228</v>
      </c>
    </row>
    <row r="5" spans="1:12" ht="42" customHeight="1" x14ac:dyDescent="0.3">
      <c r="A5" s="6" t="s">
        <v>229</v>
      </c>
      <c r="B5" s="6" t="s">
        <v>51</v>
      </c>
      <c r="C5" s="6" t="s">
        <v>230</v>
      </c>
      <c r="D5" s="6" t="s">
        <v>231</v>
      </c>
      <c r="E5" s="6" t="s">
        <v>232</v>
      </c>
      <c r="F5" s="6" t="s">
        <v>233</v>
      </c>
      <c r="G5" s="6" t="s">
        <v>234</v>
      </c>
      <c r="H5" s="6" t="s">
        <v>10</v>
      </c>
      <c r="I5" s="6" t="s">
        <v>107</v>
      </c>
      <c r="J5" s="6" t="s">
        <v>108</v>
      </c>
      <c r="K5" s="6" t="s">
        <v>8</v>
      </c>
      <c r="L5" s="6" t="s">
        <v>235</v>
      </c>
    </row>
    <row r="6" spans="1:12" ht="42" customHeight="1" x14ac:dyDescent="0.3">
      <c r="A6" s="6" t="s">
        <v>236</v>
      </c>
      <c r="B6" s="6" t="s">
        <v>51</v>
      </c>
      <c r="C6" s="6" t="s">
        <v>237</v>
      </c>
      <c r="D6" s="6" t="s">
        <v>238</v>
      </c>
      <c r="E6" s="6" t="s">
        <v>239</v>
      </c>
      <c r="F6" s="6" t="s">
        <v>240</v>
      </c>
      <c r="G6" s="6" t="s">
        <v>241</v>
      </c>
      <c r="H6" s="6" t="s">
        <v>89</v>
      </c>
      <c r="I6" s="6" t="s">
        <v>99</v>
      </c>
      <c r="J6" s="6" t="s">
        <v>91</v>
      </c>
      <c r="K6" s="6" t="s">
        <v>8</v>
      </c>
      <c r="L6" s="6" t="s">
        <v>242</v>
      </c>
    </row>
    <row r="7" spans="1:12" ht="42" customHeight="1" x14ac:dyDescent="0.3">
      <c r="A7" s="6" t="s">
        <v>243</v>
      </c>
      <c r="B7" s="6" t="s">
        <v>51</v>
      </c>
      <c r="C7" s="6" t="s">
        <v>244</v>
      </c>
      <c r="D7" s="6" t="s">
        <v>245</v>
      </c>
      <c r="E7" s="6" t="s">
        <v>246</v>
      </c>
      <c r="F7" s="6" t="s">
        <v>247</v>
      </c>
      <c r="G7" s="6" t="s">
        <v>248</v>
      </c>
      <c r="H7" s="6" t="s">
        <v>206</v>
      </c>
      <c r="I7" s="6" t="s">
        <v>90</v>
      </c>
      <c r="J7" s="6" t="s">
        <v>108</v>
      </c>
      <c r="K7" s="6" t="s">
        <v>8</v>
      </c>
      <c r="L7" s="6" t="s">
        <v>249</v>
      </c>
    </row>
  </sheetData>
  <mergeCells count="1">
    <mergeCell ref="A1:L1"/>
  </mergeCells>
  <conditionalFormatting sqref="H3:H7">
    <cfRule type="expression" dxfId="17" priority="5">
      <formula>H3="Critical"</formula>
    </cfRule>
    <cfRule type="expression" dxfId="16" priority="6">
      <formula>H3="High"</formula>
    </cfRule>
  </conditionalFormatting>
  <conditionalFormatting sqref="K3:K7">
    <cfRule type="expression" dxfId="15" priority="1">
      <formula>K3="Pass"</formula>
    </cfRule>
    <cfRule type="expression" dxfId="14" priority="2">
      <formula>K3="Fail"</formula>
    </cfRule>
    <cfRule type="expression" dxfId="13" priority="3">
      <formula>K3="Blocked"</formula>
    </cfRule>
    <cfRule type="expression" dxfId="12" priority="4">
      <formula>K3="Not Run"</formula>
    </cfRule>
  </conditionalFormatting>
  <dataValidations count="4">
    <dataValidation type="list" sqref="K3:K7" xr:uid="{00000000-0002-0000-0500-000000000000}">
      <formula1>"Not Run,Pass,Fail,Blocked"</formula1>
    </dataValidation>
    <dataValidation type="list" sqref="H3:H7" xr:uid="{00000000-0002-0000-0500-000001000000}">
      <formula1>"Critical,High,Medium,Low"</formula1>
    </dataValidation>
    <dataValidation type="list" sqref="I3:I7" xr:uid="{00000000-0002-0000-0500-000002000000}">
      <formula1>"Positive,Negative,Regression,Integration,Security,Usability,E2E"</formula1>
    </dataValidation>
    <dataValidation type="list" sqref="J3:J7" xr:uid="{00000000-0002-0000-05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showGridLines="0" topLeftCell="D1" workbookViewId="0">
      <selection sqref="A1:XFD1048576"/>
    </sheetView>
  </sheetViews>
  <sheetFormatPr defaultRowHeight="14.4" x14ac:dyDescent="0.3"/>
  <cols>
    <col min="1" max="1" width="7.88671875" bestFit="1" customWidth="1"/>
    <col min="2" max="2" width="22.44140625" bestFit="1" customWidth="1"/>
    <col min="3" max="3" width="47" bestFit="1" customWidth="1"/>
    <col min="4" max="4" width="33" bestFit="1" customWidth="1"/>
    <col min="5" max="5" width="38.88671875" bestFit="1" customWidth="1"/>
    <col min="6" max="6" width="29.44140625" bestFit="1" customWidth="1"/>
    <col min="7" max="7" width="43.5546875" bestFit="1" customWidth="1"/>
    <col min="8" max="8" width="7.3320312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21.777343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250</v>
      </c>
      <c r="B3" s="6" t="s">
        <v>53</v>
      </c>
      <c r="C3" s="6" t="s">
        <v>251</v>
      </c>
      <c r="D3" s="6" t="s">
        <v>252</v>
      </c>
      <c r="E3" s="6" t="s">
        <v>253</v>
      </c>
      <c r="F3" s="6" t="s">
        <v>254</v>
      </c>
      <c r="G3" s="6" t="s">
        <v>255</v>
      </c>
      <c r="H3" s="6" t="s">
        <v>89</v>
      </c>
      <c r="I3" s="6" t="s">
        <v>156</v>
      </c>
      <c r="J3" s="6" t="s">
        <v>108</v>
      </c>
      <c r="K3" s="6" t="s">
        <v>8</v>
      </c>
      <c r="L3" s="6" t="s">
        <v>256</v>
      </c>
    </row>
    <row r="4" spans="1:12" ht="42" customHeight="1" x14ac:dyDescent="0.3">
      <c r="A4" s="6" t="s">
        <v>257</v>
      </c>
      <c r="B4" s="6" t="s">
        <v>53</v>
      </c>
      <c r="C4" s="6" t="s">
        <v>258</v>
      </c>
      <c r="D4" s="6" t="s">
        <v>259</v>
      </c>
      <c r="E4" s="6" t="s">
        <v>260</v>
      </c>
      <c r="F4" s="6" t="s">
        <v>261</v>
      </c>
      <c r="G4" s="6" t="s">
        <v>262</v>
      </c>
      <c r="H4" s="6" t="s">
        <v>10</v>
      </c>
      <c r="I4" s="6" t="s">
        <v>164</v>
      </c>
      <c r="J4" s="6" t="s">
        <v>108</v>
      </c>
      <c r="K4" s="6" t="s">
        <v>8</v>
      </c>
      <c r="L4" s="6" t="s">
        <v>263</v>
      </c>
    </row>
    <row r="5" spans="1:12" ht="42" customHeight="1" x14ac:dyDescent="0.3">
      <c r="A5" s="6" t="s">
        <v>264</v>
      </c>
      <c r="B5" s="6" t="s">
        <v>53</v>
      </c>
      <c r="C5" s="6" t="s">
        <v>265</v>
      </c>
      <c r="D5" s="6" t="s">
        <v>266</v>
      </c>
      <c r="E5" s="6" t="s">
        <v>267</v>
      </c>
      <c r="F5" s="6" t="s">
        <v>268</v>
      </c>
      <c r="G5" s="6" t="s">
        <v>269</v>
      </c>
      <c r="H5" s="6" t="s">
        <v>10</v>
      </c>
      <c r="I5" s="6" t="s">
        <v>164</v>
      </c>
      <c r="J5" s="6" t="s">
        <v>108</v>
      </c>
      <c r="K5" s="6" t="s">
        <v>8</v>
      </c>
      <c r="L5" s="6" t="s">
        <v>270</v>
      </c>
    </row>
    <row r="6" spans="1:12" ht="42" customHeight="1" x14ac:dyDescent="0.3">
      <c r="A6" s="6" t="s">
        <v>271</v>
      </c>
      <c r="B6" s="6" t="s">
        <v>53</v>
      </c>
      <c r="C6" s="6" t="s">
        <v>272</v>
      </c>
      <c r="D6" s="6" t="s">
        <v>273</v>
      </c>
      <c r="E6" s="6" t="s">
        <v>274</v>
      </c>
      <c r="F6" s="6" t="s">
        <v>275</v>
      </c>
      <c r="G6" s="6" t="s">
        <v>276</v>
      </c>
      <c r="H6" s="6" t="s">
        <v>89</v>
      </c>
      <c r="I6" s="6" t="s">
        <v>99</v>
      </c>
      <c r="J6" s="6" t="s">
        <v>108</v>
      </c>
      <c r="K6" s="6" t="s">
        <v>8</v>
      </c>
      <c r="L6" s="6" t="s">
        <v>277</v>
      </c>
    </row>
    <row r="7" spans="1:12" ht="42" customHeight="1" x14ac:dyDescent="0.3">
      <c r="A7" s="6" t="s">
        <v>278</v>
      </c>
      <c r="B7" s="6" t="s">
        <v>53</v>
      </c>
      <c r="C7" s="6" t="s">
        <v>279</v>
      </c>
      <c r="D7" s="6" t="s">
        <v>280</v>
      </c>
      <c r="E7" s="6" t="s">
        <v>281</v>
      </c>
      <c r="F7" s="6" t="s">
        <v>282</v>
      </c>
      <c r="G7" s="6" t="s">
        <v>283</v>
      </c>
      <c r="H7" s="6" t="s">
        <v>10</v>
      </c>
      <c r="I7" s="6" t="s">
        <v>156</v>
      </c>
      <c r="J7" s="6" t="s">
        <v>108</v>
      </c>
      <c r="K7" s="6" t="s">
        <v>8</v>
      </c>
      <c r="L7" s="6" t="s">
        <v>284</v>
      </c>
    </row>
  </sheetData>
  <mergeCells count="1">
    <mergeCell ref="A1:L1"/>
  </mergeCells>
  <conditionalFormatting sqref="H3:H7">
    <cfRule type="expression" dxfId="11" priority="5">
      <formula>H3="Critical"</formula>
    </cfRule>
    <cfRule type="expression" dxfId="10" priority="6">
      <formula>H3="High"</formula>
    </cfRule>
  </conditionalFormatting>
  <conditionalFormatting sqref="K3:K7">
    <cfRule type="expression" dxfId="9" priority="1">
      <formula>K3="Pass"</formula>
    </cfRule>
    <cfRule type="expression" dxfId="8" priority="2">
      <formula>K3="Fail"</formula>
    </cfRule>
    <cfRule type="expression" dxfId="7" priority="3">
      <formula>K3="Blocked"</formula>
    </cfRule>
    <cfRule type="expression" dxfId="6" priority="4">
      <formula>K3="Not Run"</formula>
    </cfRule>
  </conditionalFormatting>
  <dataValidations count="4">
    <dataValidation type="list" sqref="K3:K7" xr:uid="{00000000-0002-0000-0600-000000000000}">
      <formula1>"Not Run,Pass,Fail,Blocked"</formula1>
    </dataValidation>
    <dataValidation type="list" sqref="H3:H7" xr:uid="{00000000-0002-0000-0600-000001000000}">
      <formula1>"Critical,High,Medium,Low"</formula1>
    </dataValidation>
    <dataValidation type="list" sqref="I3:I7" xr:uid="{00000000-0002-0000-0600-000002000000}">
      <formula1>"Positive,Negative,Regression,Integration,Security,Usability,E2E"</formula1>
    </dataValidation>
    <dataValidation type="list" sqref="J3:J7" xr:uid="{00000000-0002-0000-06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showGridLines="0" tabSelected="1" workbookViewId="0">
      <selection activeCell="E14" sqref="A1:XFD1048576"/>
    </sheetView>
  </sheetViews>
  <sheetFormatPr defaultRowHeight="14.4" x14ac:dyDescent="0.3"/>
  <cols>
    <col min="1" max="1" width="12.109375" bestFit="1" customWidth="1"/>
    <col min="2" max="2" width="16.88671875" bestFit="1" customWidth="1"/>
    <col min="3" max="3" width="47.77734375" bestFit="1" customWidth="1"/>
    <col min="4" max="4" width="33.88671875" bestFit="1" customWidth="1"/>
    <col min="5" max="5" width="31.21875" bestFit="1" customWidth="1"/>
    <col min="6" max="6" width="27.21875" bestFit="1" customWidth="1"/>
    <col min="7" max="7" width="43.5546875" bestFit="1" customWidth="1"/>
    <col min="8" max="8" width="7.33203125" bestFit="1" customWidth="1"/>
    <col min="9" max="9" width="5.109375" bestFit="1" customWidth="1"/>
    <col min="10" max="10" width="20.77734375" bestFit="1" customWidth="1"/>
    <col min="11" max="11" width="7.88671875" bestFit="1" customWidth="1"/>
    <col min="12" max="12" width="18.218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285</v>
      </c>
      <c r="B3" s="6" t="s">
        <v>55</v>
      </c>
      <c r="C3" s="6" t="s">
        <v>286</v>
      </c>
      <c r="D3" s="6" t="s">
        <v>287</v>
      </c>
      <c r="E3" s="6" t="s">
        <v>288</v>
      </c>
      <c r="F3" s="6" t="s">
        <v>289</v>
      </c>
      <c r="G3" s="6" t="s">
        <v>290</v>
      </c>
      <c r="H3" s="6" t="s">
        <v>89</v>
      </c>
      <c r="I3" s="6" t="s">
        <v>291</v>
      </c>
      <c r="J3" s="6" t="s">
        <v>108</v>
      </c>
      <c r="K3" s="6" t="s">
        <v>8</v>
      </c>
      <c r="L3" s="6" t="s">
        <v>292</v>
      </c>
    </row>
    <row r="4" spans="1:12" ht="42" customHeight="1" x14ac:dyDescent="0.3">
      <c r="A4" s="6" t="s">
        <v>293</v>
      </c>
      <c r="B4" s="6" t="s">
        <v>55</v>
      </c>
      <c r="C4" s="6" t="s">
        <v>294</v>
      </c>
      <c r="D4" s="6" t="s">
        <v>295</v>
      </c>
      <c r="E4" s="6" t="s">
        <v>296</v>
      </c>
      <c r="F4" s="6" t="s">
        <v>297</v>
      </c>
      <c r="G4" s="6" t="s">
        <v>298</v>
      </c>
      <c r="H4" s="6" t="s">
        <v>89</v>
      </c>
      <c r="I4" s="6" t="s">
        <v>291</v>
      </c>
      <c r="J4" s="6" t="s">
        <v>108</v>
      </c>
      <c r="K4" s="6" t="s">
        <v>8</v>
      </c>
      <c r="L4" s="6" t="s">
        <v>299</v>
      </c>
    </row>
    <row r="5" spans="1:12" ht="42" customHeight="1" x14ac:dyDescent="0.3">
      <c r="A5" s="6" t="s">
        <v>300</v>
      </c>
      <c r="B5" s="6" t="s">
        <v>55</v>
      </c>
      <c r="C5" s="6" t="s">
        <v>301</v>
      </c>
      <c r="D5" s="6" t="s">
        <v>302</v>
      </c>
      <c r="E5" s="6" t="s">
        <v>303</v>
      </c>
      <c r="F5" s="6" t="s">
        <v>304</v>
      </c>
      <c r="G5" s="6" t="s">
        <v>305</v>
      </c>
      <c r="H5" s="6" t="s">
        <v>89</v>
      </c>
      <c r="I5" s="6" t="s">
        <v>291</v>
      </c>
      <c r="J5" s="6" t="s">
        <v>108</v>
      </c>
      <c r="K5" s="6" t="s">
        <v>8</v>
      </c>
      <c r="L5" s="6" t="s">
        <v>306</v>
      </c>
    </row>
    <row r="6" spans="1:12" ht="42" customHeight="1" x14ac:dyDescent="0.3">
      <c r="A6" s="6" t="s">
        <v>307</v>
      </c>
      <c r="B6" s="6" t="s">
        <v>55</v>
      </c>
      <c r="C6" s="6" t="s">
        <v>308</v>
      </c>
      <c r="D6" s="6" t="s">
        <v>309</v>
      </c>
      <c r="E6" s="6" t="s">
        <v>310</v>
      </c>
      <c r="F6" s="6" t="s">
        <v>311</v>
      </c>
      <c r="G6" s="6" t="s">
        <v>312</v>
      </c>
      <c r="H6" s="6" t="s">
        <v>89</v>
      </c>
      <c r="I6" s="6" t="s">
        <v>291</v>
      </c>
      <c r="J6" s="6" t="s">
        <v>108</v>
      </c>
      <c r="K6" s="6" t="s">
        <v>8</v>
      </c>
      <c r="L6" s="6" t="s">
        <v>313</v>
      </c>
    </row>
  </sheetData>
  <mergeCells count="1">
    <mergeCell ref="A1:L1"/>
  </mergeCells>
  <conditionalFormatting sqref="H3:H6">
    <cfRule type="expression" dxfId="5" priority="5">
      <formula>H3="Critical"</formula>
    </cfRule>
    <cfRule type="expression" dxfId="4" priority="6">
      <formula>H3="High"</formula>
    </cfRule>
  </conditionalFormatting>
  <conditionalFormatting sqref="K3:K6">
    <cfRule type="expression" dxfId="3" priority="1">
      <formula>K3="Pass"</formula>
    </cfRule>
    <cfRule type="expression" dxfId="2" priority="2">
      <formula>K3="Fail"</formula>
    </cfRule>
    <cfRule type="expression" dxfId="1" priority="3">
      <formula>K3="Blocked"</formula>
    </cfRule>
    <cfRule type="expression" dxfId="0" priority="4">
      <formula>K3="Not Run"</formula>
    </cfRule>
  </conditionalFormatting>
  <dataValidations count="4">
    <dataValidation type="list" sqref="K3:K6" xr:uid="{00000000-0002-0000-0700-000000000000}">
      <formula1>"Not Run,Pass,Fail,Blocked"</formula1>
    </dataValidation>
    <dataValidation type="list" sqref="H3:H6" xr:uid="{00000000-0002-0000-0700-000001000000}">
      <formula1>"Critical,High,Medium,Low"</formula1>
    </dataValidation>
    <dataValidation type="list" sqref="I3:I6" xr:uid="{00000000-0002-0000-0700-000002000000}">
      <formula1>"Positive,Negative,Regression,Integration,Security,Usability,E2E"</formula1>
    </dataValidation>
    <dataValidation type="list" sqref="J3:J6" xr:uid="{00000000-0002-0000-07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</vt:lpstr>
      <vt:lpstr>10_Wallet_Account_Access</vt:lpstr>
      <vt:lpstr>20_Deposit_Flows</vt:lpstr>
      <vt:lpstr>30_Withdrawal_Flows</vt:lpstr>
      <vt:lpstr>40_Transfer_Refunds</vt:lpstr>
      <vt:lpstr>50_Balance_Reconciliation</vt:lpstr>
      <vt:lpstr>60_Wallet_E2E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Tan, Ramon Jr</cp:lastModifiedBy>
  <dcterms:modified xsi:type="dcterms:W3CDTF">2026-04-05T11:58:47Z</dcterms:modified>
</cp:coreProperties>
</file>