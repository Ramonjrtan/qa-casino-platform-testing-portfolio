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onJrTan\Downloads\qa-casino-platform-testing-portfolio\qa-casino-platform-testing-portfolio\test-cases\"/>
    </mc:Choice>
  </mc:AlternateContent>
  <xr:revisionPtr revIDLastSave="0" documentId="13_ncr:1_{AD801712-83D6-4E2E-B76E-B44D171A26B5}" xr6:coauthVersionLast="47" xr6:coauthVersionMax="47" xr10:uidLastSave="{00000000-0000-0000-0000-000000000000}"/>
  <bookViews>
    <workbookView xWindow="28680" yWindow="-120" windowWidth="29040" windowHeight="15720" firstSheet="2" activeTab="2" xr2:uid="{00000000-000D-0000-FFFF-FFFF00000000}"/>
  </bookViews>
  <sheets>
    <sheet name="README" sheetId="1" r:id="rId1"/>
    <sheet name="Summary" sheetId="2" r:id="rId2"/>
    <sheet name="10_KYC_Account_Verification" sheetId="3" r:id="rId3"/>
    <sheet name="20_Responsible_Gaming_Limits" sheetId="4" r:id="rId4"/>
    <sheet name="30_Self_Exclusion_Timeouts" sheetId="5" r:id="rId5"/>
    <sheet name="40_Audit_Logging_Reporting" sheetId="6" r:id="rId6"/>
    <sheet name="50_Fraud_Access_Control" sheetId="7" r:id="rId7"/>
    <sheet name="60_Compliance_E2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5" i="2"/>
  <c r="B24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F19" i="2" s="1"/>
  <c r="E13" i="2"/>
  <c r="E19" i="2" s="1"/>
  <c r="D13" i="2"/>
  <c r="D19" i="2" s="1"/>
  <c r="C13" i="2"/>
  <c r="C19" i="2" s="1"/>
  <c r="E24" i="2" s="1"/>
  <c r="E27" i="2" l="1"/>
  <c r="E25" i="2"/>
  <c r="E26" i="2" s="1"/>
  <c r="E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K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Update execution status during testing.</t>
        </r>
      </text>
    </comment>
    <comment ref="L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Capture observed behavior, defect IDs, or blockers here.</t>
        </r>
      </text>
    </comment>
  </commentList>
</comments>
</file>

<file path=xl/sharedStrings.xml><?xml version="1.0" encoding="utf-8"?>
<sst xmlns="http://schemas.openxmlformats.org/spreadsheetml/2006/main" count="514" uniqueCount="303">
  <si>
    <t>Casino Compliance - QA Manual Test Case Test Pack</t>
  </si>
  <si>
    <t>Purpose</t>
  </si>
  <si>
    <t>Provide reusable sample manual test cases across casino platform qa / compliance &amp; responsible gaming workflows in a simulated casino platform, including core positive, negative, integration, and end-to-end flows.</t>
  </si>
  <si>
    <t>How to use</t>
  </si>
  <si>
    <t>Open each module sheet and update the Status and Notes columns during execution. Summary KPIs and module counts refresh automatically.</t>
  </si>
  <si>
    <t>Important note</t>
  </si>
  <si>
    <t>These are sample QA scenarios for portfolio use and should be tailored to the exact casino platform build, jurisdiction rules, payment integrations, and enabled responsible-gaming controls in the target environment.</t>
  </si>
  <si>
    <t>Default status</t>
  </si>
  <si>
    <t>Not Run</t>
  </si>
  <si>
    <t>Default priority</t>
  </si>
  <si>
    <t>High</t>
  </si>
  <si>
    <t>Primary domain</t>
  </si>
  <si>
    <t>Casino Platform QA - Compliance &amp; Responsible Gaming</t>
  </si>
  <si>
    <t>Demo credentials</t>
  </si>
  <si>
    <t>Simulated Player: player01 / Demo123! | Simulated Admin: qa_admin / Admin123!</t>
  </si>
  <si>
    <t>Source Name</t>
  </si>
  <si>
    <t>Path / URL</t>
  </si>
  <si>
    <t>Use in this workbook</t>
  </si>
  <si>
    <t>Portfolio README</t>
  </si>
  <si>
    <t>../README.md</t>
  </si>
  <si>
    <t>Overview and scope for this simulated casino QA portfolio</t>
  </si>
  <si>
    <t>Test Strategy</t>
  </si>
  <si>
    <t>../test-strategy/test-approach.md</t>
  </si>
  <si>
    <t>Risk-based test approach and execution guidance</t>
  </si>
  <si>
    <t>Postman Collection</t>
  </si>
  <si>
    <t>../api-tests/postman-collections/casino-platform-qa.postman_collection.json</t>
  </si>
  <si>
    <t>API request examples aligned to these scenarios</t>
  </si>
  <si>
    <t>Sample Requests</t>
  </si>
  <si>
    <t>../api-tests/sample-requests.json</t>
  </si>
  <si>
    <t>Sample payloads aligned to wallet, betting, and compliance flows</t>
  </si>
  <si>
    <t>Casino Compliance - QA Manual Test Case Tracker</t>
  </si>
  <si>
    <t>Manual QA test suite for casino compliance, KYC, responsible gaming, self-exclusion, and audit workflows using the same multi-tab execution-tracker structure as the user's prior OpenMRS-style portfolio trackers.</t>
  </si>
  <si>
    <t>Workbook Controls</t>
  </si>
  <si>
    <t>Default Status</t>
  </si>
  <si>
    <t>Default Priority</t>
  </si>
  <si>
    <t>Portfolio Owner</t>
  </si>
  <si>
    <t>Ramon Tan Jr.</t>
  </si>
  <si>
    <t>Primary Domain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</si>
  <si>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</si>
  <si>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</si>
  <si>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</si>
  <si>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</si>
  <si>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</si>
  <si>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</si>
  <si>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</si>
  <si>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KYC &amp; Account Verification</t>
  </si>
  <si>
    <t>10_KYC_Account_Verification</t>
  </si>
  <si>
    <t>Responsible Gaming Limits</t>
  </si>
  <si>
    <t>20_Responsible_Gaming_Limits</t>
  </si>
  <si>
    <t>Self-Exclusion &amp; Timeouts</t>
  </si>
  <si>
    <t>30_Self_Exclusion_Timeouts</t>
  </si>
  <si>
    <t>Audit Logging &amp; Reporting</t>
  </si>
  <si>
    <t>40_Audit_Logging_Reporting</t>
  </si>
  <si>
    <t>Fraud Alerts &amp; Access Control</t>
  </si>
  <si>
    <t>50_Fraud_Access_Control</t>
  </si>
  <si>
    <t>Compliance End-to-End</t>
  </si>
  <si>
    <t>60_Compliance_E2E</t>
  </si>
  <si>
    <t>Total</t>
  </si>
  <si>
    <t>Execution Status</t>
  </si>
  <si>
    <t>Status</t>
  </si>
  <si>
    <t>Count</t>
  </si>
  <si>
    <t/>
  </si>
  <si>
    <t>Metric</t>
  </si>
  <si>
    <t>Value</t>
  </si>
  <si>
    <t>Total Test Cases</t>
  </si>
  <si>
    <t>Pass</t>
  </si>
  <si>
    <t>Executed Cases</t>
  </si>
  <si>
    <t>Fail</t>
  </si>
  <si>
    <t>Execution %</t>
  </si>
  <si>
    <t>Blocked</t>
  </si>
  <si>
    <t>Pass Rate</t>
  </si>
  <si>
    <t>Fail Rate</t>
  </si>
  <si>
    <t>Update the Status and Notes columns during execution. Summary KPIs and counts refresh automatically.</t>
  </si>
  <si>
    <t>TC_ID</t>
  </si>
  <si>
    <t>Scenario</t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</si>
  <si>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</si>
  <si>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</si>
  <si>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</si>
  <si>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</si>
  <si>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</si>
  <si>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</si>
  <si>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</si>
  <si>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</si>
  <si>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KYC-001</t>
  </si>
  <si>
    <t>Verified player status is shown after successful document review</t>
  </si>
  <si>
    <t>Player submitted valid documents</t>
  </si>
  <si>
    <t>1. Review player profile after approval</t>
  </si>
  <si>
    <t>approved KYC case</t>
  </si>
  <si>
    <t>Player status shows verified and dependent features become available</t>
  </si>
  <si>
    <t>Critical</t>
  </si>
  <si>
    <t>Positive</t>
  </si>
  <si>
    <t>Later</t>
  </si>
  <si>
    <t>Verification success</t>
  </si>
  <si>
    <t>KYC-002</t>
  </si>
  <si>
    <t>Deposit may be allowed but withdrawal remains blocked until full verification</t>
  </si>
  <si>
    <t>Player is partially verified</t>
  </si>
  <si>
    <t>1. Deposit funds
2. Attempt withdrawal</t>
  </si>
  <si>
    <t>partially verified player</t>
  </si>
  <si>
    <t>System enforces staged verification rules correctly</t>
  </si>
  <si>
    <t>Security</t>
  </si>
  <si>
    <t>Staged verification</t>
  </si>
  <si>
    <t>KYC-003</t>
  </si>
  <si>
    <t>Expired identity document triggers reverification requirement</t>
  </si>
  <si>
    <t>Player document expiry condition exists</t>
  </si>
  <si>
    <t>1. Open profile
2. Attempt restricted action</t>
  </si>
  <si>
    <t>expired document account</t>
  </si>
  <si>
    <t>System requests updated verification before restricted action continues</t>
  </si>
  <si>
    <t>Negative</t>
  </si>
  <si>
    <t>Expiry handling</t>
  </si>
  <si>
    <t>KYC-004</t>
  </si>
  <si>
    <t>Mismatched identity details are flagged for manual review</t>
  </si>
  <si>
    <t>Conflicting identity data exists</t>
  </si>
  <si>
    <t>1. Submit conflicting profile data</t>
  </si>
  <si>
    <t>DOB or name mismatch</t>
  </si>
  <si>
    <t>System routes case to manual review and blocks full verification</t>
  </si>
  <si>
    <t>Mismatch detection</t>
  </si>
  <si>
    <t>KYC-005</t>
  </si>
  <si>
    <t>Authorized compliance user can review verification evidence while player cannot access admin details</t>
  </si>
  <si>
    <t>Compliance role and player role available</t>
  </si>
  <si>
    <t>1. Open KYC case as compliance user
2. Open profile as player</t>
  </si>
  <si>
    <t>same KYC case / two roles</t>
  </si>
  <si>
    <t>Admin evidence is visible only to compliance role and hidden from player view</t>
  </si>
  <si>
    <t>Role-based case access</t>
  </si>
  <si>
    <t>RGL-001</t>
  </si>
  <si>
    <t>Daily deposit limit prevents deposits above remaining allowance</t>
  </si>
  <si>
    <t>Player has configured daily limit</t>
  </si>
  <si>
    <t>1. Reach part of daily limit
2. Attempt deposit above remaining amount</t>
  </si>
  <si>
    <t>daily deposit limit case</t>
  </si>
  <si>
    <t>System blocks transaction and shows remaining allowance message</t>
  </si>
  <si>
    <t>Deposit limit</t>
  </si>
  <si>
    <t>RGL-002</t>
  </si>
  <si>
    <t>Weekly loss limit blocks new wagering after threshold reached</t>
  </si>
  <si>
    <t>Player reaches weekly loss threshold</t>
  </si>
  <si>
    <t>1. Simulate losses to threshold
2. Attempt new bet</t>
  </si>
  <si>
    <t>weekly loss limit case</t>
  </si>
  <si>
    <t>Further wagering is blocked until policy allows</t>
  </si>
  <si>
    <t>Loss limit</t>
  </si>
  <si>
    <t>RGL-003</t>
  </si>
  <si>
    <t>Cooling-off increase to limits is not effective until configured delay expires</t>
  </si>
  <si>
    <t>Player requests limit increase</t>
  </si>
  <si>
    <t>1. Submit higher limit request
2. Review effective date</t>
  </si>
  <si>
    <t>limit increase request</t>
  </si>
  <si>
    <t>System enforces delayed effectiveness for increased risk limits</t>
  </si>
  <si>
    <t>Regression</t>
  </si>
  <si>
    <t>Delay policy</t>
  </si>
  <si>
    <t>RGL-004</t>
  </si>
  <si>
    <t>Limit decrease becomes effective immediately</t>
  </si>
  <si>
    <t>Player requests lower limit</t>
  </si>
  <si>
    <t>1. Decrease limit
2. Attempt affected action</t>
  </si>
  <si>
    <t>limit decrease request</t>
  </si>
  <si>
    <t>Lower limit is applied immediately to protect player</t>
  </si>
  <si>
    <t>Immediate decrease</t>
  </si>
  <si>
    <t>RGL-005</t>
  </si>
  <si>
    <t>Player dashboard shows active responsible-gaming limits clearly</t>
  </si>
  <si>
    <t>Player has multiple active limits</t>
  </si>
  <si>
    <t>1. Open dashboard
2. Review limits panel</t>
  </si>
  <si>
    <t>player with active limits</t>
  </si>
  <si>
    <t>Dashboard displays current limits and next eligibility changes clearly</t>
  </si>
  <si>
    <t>Medium</t>
  </si>
  <si>
    <t>Usability</t>
  </si>
  <si>
    <t>Transparency</t>
  </si>
  <si>
    <t>RGL-006</t>
  </si>
  <si>
    <t>Operator cannot bypass responsible-gaming enforcement without auditable privileged process</t>
  </si>
  <si>
    <t>Support or admin user exists</t>
  </si>
  <si>
    <t>1. Attempt manual override
2. Review audit</t>
  </si>
  <si>
    <t>operator override attempt</t>
  </si>
  <si>
    <t>System blocks bypass or records privileged override with full audit per policy</t>
  </si>
  <si>
    <t>Override control</t>
  </si>
  <si>
    <t>SEL-001</t>
  </si>
  <si>
    <t>Immediate self-exclusion logs player out and blocks new login</t>
  </si>
  <si>
    <t>Player is logged in</t>
  </si>
  <si>
    <t>1. Activate self-exclusion
2. Attempt continue play or relogin</t>
  </si>
  <si>
    <t>self-exclusion request</t>
  </si>
  <si>
    <t>Session ends and future access is blocked according to policy</t>
  </si>
  <si>
    <t>Immediate exclusion</t>
  </si>
  <si>
    <t>SEL-002</t>
  </si>
  <si>
    <t>Time-out period prevents wagering until expiration</t>
  </si>
  <si>
    <t>Player activates short time-out</t>
  </si>
  <si>
    <t>1. Activate time-out
2. Attempt deposit or bet</t>
  </si>
  <si>
    <t>time-out request</t>
  </si>
  <si>
    <t>Restricted actions remain blocked until configured end time</t>
  </si>
  <si>
    <t>Timeout enforcement</t>
  </si>
  <si>
    <t>SEL-003</t>
  </si>
  <si>
    <t>Self-excluded player cannot be reactivated before policy end date through standard support flow</t>
  </si>
  <si>
    <t>Self-excluded account exists</t>
  </si>
  <si>
    <t>1. Attempt standard reactivation before end date</t>
  </si>
  <si>
    <t>premature reactivation request</t>
  </si>
  <si>
    <t>System denies reactivation before allowed date</t>
  </si>
  <si>
    <t>Reactivation control</t>
  </si>
  <si>
    <t>SEL-004</t>
  </si>
  <si>
    <t>Previously self-excluded player regains access only after compliant review and policy completion</t>
  </si>
  <si>
    <t>Policy end date reached and review complete</t>
  </si>
  <si>
    <t>1. Complete reactivation process
2. Attempt login</t>
  </si>
  <si>
    <t>completed reactivation case</t>
  </si>
  <si>
    <t>Access is restored only after all required checks are complete</t>
  </si>
  <si>
    <t>Controlled reactivation</t>
  </si>
  <si>
    <t>SEL-005</t>
  </si>
  <si>
    <t>Self-exclusion event is visible in compliance history and audit trail</t>
  </si>
  <si>
    <t>Self-exclusion case exists</t>
  </si>
  <si>
    <t>1. Review player compliance history
2. Review audit log</t>
  </si>
  <si>
    <t>existing self-exclusion case</t>
  </si>
  <si>
    <t>History and audit trail contain accurate timestamps and actor/source</t>
  </si>
  <si>
    <t>Integration</t>
  </si>
  <si>
    <t>Event traceability</t>
  </si>
  <si>
    <t>AUD-001</t>
  </si>
  <si>
    <t>Deposit, withdrawal, and bet events create audit entries with actor, time, and reference</t>
  </si>
  <si>
    <t>Sample player activity exists</t>
  </si>
  <si>
    <t>1. Perform transactions
2. Review audit logs</t>
  </si>
  <si>
    <t>mixed activity dataset</t>
  </si>
  <si>
    <t>Audit contains each event with sufficient traceability fields</t>
  </si>
  <si>
    <t>Transaction traceability</t>
  </si>
  <si>
    <t>AUD-002</t>
  </si>
  <si>
    <t>Sensitive changes to player limits record before/after values</t>
  </si>
  <si>
    <t>Player limit change action available</t>
  </si>
  <si>
    <t>1. Change responsible-gaming limit
2. Review audit</t>
  </si>
  <si>
    <t>limit change action</t>
  </si>
  <si>
    <t>Audit shows old value, new value, actor, and timestamp</t>
  </si>
  <si>
    <t>Change audit</t>
  </si>
  <si>
    <t>AUD-003</t>
  </si>
  <si>
    <t>Compliance report totals match underlying event data for selected period</t>
  </si>
  <si>
    <t>Reporting job available</t>
  </si>
  <si>
    <t>1. Run report
2. Compare totals to sample data</t>
  </si>
  <si>
    <t>sample period with known counts</t>
  </si>
  <si>
    <t>Report counts and amounts match underlying auditable events</t>
  </si>
  <si>
    <t>Report consistency</t>
  </si>
  <si>
    <t>AUD-004</t>
  </si>
  <si>
    <t>Unauthorized user cannot access audit log endpoint or report export</t>
  </si>
  <si>
    <t>Player or low-privilege token exists</t>
  </si>
  <si>
    <t>1. Call audit endpoint with unauthorized token</t>
  </si>
  <si>
    <t>unauthorized token</t>
  </si>
  <si>
    <t>Access is denied and no sensitive report data is returned</t>
  </si>
  <si>
    <t>Yes</t>
  </si>
  <si>
    <t>Audit endpoint security</t>
  </si>
  <si>
    <t>AUD-005</t>
  </si>
  <si>
    <t>Report export includes only requested date range and jurisdiction filter</t>
  </si>
  <si>
    <t>Reporting filters available</t>
  </si>
  <si>
    <t>1. Export report with filters
2. Review dataset</t>
  </si>
  <si>
    <t>date range + jurisdiction filters</t>
  </si>
  <si>
    <t>Exported data matches chosen filter scope without leakage</t>
  </si>
  <si>
    <t>Filter correctness</t>
  </si>
  <si>
    <t>FRA-001</t>
  </si>
  <si>
    <t>Rapid repeated deposits trigger risk alert according to configured rules</t>
  </si>
  <si>
    <t>Fraud rules are enabled</t>
  </si>
  <si>
    <t>1. Perform repeated high-risk pattern
2. Review alerts</t>
  </si>
  <si>
    <t>rapid deposit pattern</t>
  </si>
  <si>
    <t>System creates risk alert and marks account for review per rule</t>
  </si>
  <si>
    <t>Risk rule trigger</t>
  </si>
  <si>
    <t>FRA-002</t>
  </si>
  <si>
    <t>Velocity rule blocks suspicious withdrawal attempt</t>
  </si>
  <si>
    <t>Account meets suspicious velocity criteria</t>
  </si>
  <si>
    <t>1. Attempt withdrawal under triggered rule</t>
  </si>
  <si>
    <t>suspicious velocity case</t>
  </si>
  <si>
    <t>Withdrawal is blocked or held for review according to policy</t>
  </si>
  <si>
    <t>Withdrawal risk hold</t>
  </si>
  <si>
    <t>FRA-003</t>
  </si>
  <si>
    <t>Compliance admin can review flagged case while support role sees limited details</t>
  </si>
  <si>
    <t>Multiple roles available</t>
  </si>
  <si>
    <t>1. Open flagged case as compliance admin
2. Open as support</t>
  </si>
  <si>
    <t>flagged player case</t>
  </si>
  <si>
    <t>Sensitive fraud analysis is limited to authorized role</t>
  </si>
  <si>
    <t>Case segregation</t>
  </si>
  <si>
    <t>FRA-004</t>
  </si>
  <si>
    <t>Direct API access to compliance case notes requires proper authorization</t>
  </si>
  <si>
    <t>Unauthorized token available</t>
  </si>
  <si>
    <t>1. Call case-notes endpoint without permission</t>
  </si>
  <si>
    <t>System denies access and no case data is exposed</t>
  </si>
  <si>
    <t>API authorization</t>
  </si>
  <si>
    <t>FRA-005</t>
  </si>
  <si>
    <t>Resolved risk alert records resolution reason and reviewer identity</t>
  </si>
  <si>
    <t>Risk case exists and is eligible for closure</t>
  </si>
  <si>
    <t>1. Resolve case
2. Review history</t>
  </si>
  <si>
    <t>case resolution action</t>
  </si>
  <si>
    <t>Case history stores resolution reason, reviewer, and timestamp</t>
  </si>
  <si>
    <t>Resolution traceability</t>
  </si>
  <si>
    <t>CMP-E2E-001</t>
  </si>
  <si>
    <t>Unverified player deposits then fails withdrawal until KYC approval end-to-end</t>
  </si>
  <si>
    <t>Partially verified player exists</t>
  </si>
  <si>
    <t>1. Deposit
2. Attempt withdrawal
3. Complete KYC
4. Retry withdrawal</t>
  </si>
  <si>
    <t>partial verification case</t>
  </si>
  <si>
    <t>System enforces KYC dependency correctly across full journey</t>
  </si>
  <si>
    <t>E2E</t>
  </si>
  <si>
    <t>KYC lifecycle</t>
  </si>
  <si>
    <t>CMP-E2E-002</t>
  </si>
  <si>
    <t>Player reaches responsible-gaming deposit limit and is blocked end-to-end</t>
  </si>
  <si>
    <t>Player with configured limit exists</t>
  </si>
  <si>
    <t>1. Deposit up to limit
2. Attempt additional deposit</t>
  </si>
  <si>
    <t>limit threshold case</t>
  </si>
  <si>
    <t>Additional deposit is blocked and compliance event is recorded end-to-end</t>
  </si>
  <si>
    <t>Limit lifecycle</t>
  </si>
  <si>
    <t>CMP-E2E-003</t>
  </si>
  <si>
    <t>Self-exclusion request immediately blocks access and creates audit trail end-to-end</t>
  </si>
  <si>
    <t>Logged-in player exists</t>
  </si>
  <si>
    <t>1. Trigger self-exclusion
2. Attempt relogin
3. Review audit</t>
  </si>
  <si>
    <t>self-exclusion case</t>
  </si>
  <si>
    <t>Access is blocked and audit/history reflect action end-to-end</t>
  </si>
  <si>
    <t>Self-exclusion lifecycle</t>
  </si>
  <si>
    <t>CMP-E2E-004</t>
  </si>
  <si>
    <t>Triggered fraud alert to analyst review to resolution is traceable end-to-end</t>
  </si>
  <si>
    <t>Fraud rules and compliance role exist</t>
  </si>
  <si>
    <t>1. Trigger alert
2. Open case
3. Resolve case</t>
  </si>
  <si>
    <t>fraud alert case</t>
  </si>
  <si>
    <t>Alert lifecycle remains visible and traceable across systems end-to-end</t>
  </si>
  <si>
    <t>Alert handling lifecycle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</si>
</sst>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i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2" borderId="0" xfId="0" applyFont="1" applyFill="1" applyAlignment="1">
      <alignment horizontal="left"/>
    </xf>
    <xf numFmtId="0" fontId="3" fillId="3" borderId="0" xfId="0" applyFont="1" applyFill="1" applyAlignment="1">
      <alignment wrapText="1"/>
    </xf>
    <xf numFmtId="0" fontId="3" fillId="6" borderId="0" xfId="0" applyFont="1" applyFill="1" applyAlignment="1">
      <alignment wrapText="1"/>
    </xf>
  </cellXfs>
  <cellStyles count="1">
    <cellStyle name="Normal" xfId="0" builtinId="0"/>
  </cellStyles>
  <dxfs count="36"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EDEDED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DC2D4F2-6C57-E2C6-4F4F-3C9E533D976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28</xdr:row>
      <xdr:rowOff>106680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669D3A59-CC14-7761-59AB-23C9BCCE68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579DB884-3CC5-741A-4FA1-138C0842879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97FCE1E5-D685-6597-534A-1D54400508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30</xdr:row>
      <xdr:rowOff>91440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2B320075-0F99-30BC-EB00-B5FB63F2970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1584960</xdr:colOff>
      <xdr:row>32</xdr:row>
      <xdr:rowOff>76200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F8AC09F9-E0CA-B167-EF3C-ABE588C59DA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sqref="A1:C1"/>
    </sheetView>
  </sheetViews>
  <sheetFormatPr defaultRowHeight="14.4" x14ac:dyDescent="0.3"/>
  <cols>
    <col min="1" max="1" width="24" customWidth="1"/>
    <col min="2" max="2" width="50" customWidth="1"/>
    <col min="3" max="3" width="48" customWidth="1"/>
  </cols>
  <sheetData>
    <row r="1" spans="1:3" ht="22.05" customHeight="1" x14ac:dyDescent="0.3">
      <c r="A1" s="10" t="s">
        <v>0</v>
      </c>
      <c r="B1" s="11"/>
      <c r="C1" s="11"/>
    </row>
    <row r="3" spans="1:3" ht="57.6" x14ac:dyDescent="0.3">
      <c r="A3" s="1" t="s">
        <v>1</v>
      </c>
      <c r="B3" s="2" t="s">
        <v>2</v>
      </c>
    </row>
    <row r="4" spans="1:3" ht="43.2" x14ac:dyDescent="0.3">
      <c r="A4" s="1" t="s">
        <v>3</v>
      </c>
      <c r="B4" s="2" t="s">
        <v>4</v>
      </c>
    </row>
    <row r="5" spans="1:3" ht="57.6" x14ac:dyDescent="0.3">
      <c r="A5" s="1" t="s">
        <v>5</v>
      </c>
      <c r="B5" s="2" t="s">
        <v>6</v>
      </c>
    </row>
    <row r="6" spans="1:3" x14ac:dyDescent="0.3">
      <c r="A6" s="1" t="s">
        <v>7</v>
      </c>
      <c r="B6" s="2" t="s">
        <v>8</v>
      </c>
    </row>
    <row r="7" spans="1:3" x14ac:dyDescent="0.3">
      <c r="A7" s="1" t="s">
        <v>9</v>
      </c>
      <c r="B7" s="2" t="s">
        <v>10</v>
      </c>
    </row>
    <row r="8" spans="1:3" x14ac:dyDescent="0.3">
      <c r="A8" s="1" t="s">
        <v>11</v>
      </c>
      <c r="B8" s="2" t="s">
        <v>12</v>
      </c>
    </row>
    <row r="9" spans="1:3" ht="28.8" x14ac:dyDescent="0.3">
      <c r="A9" s="1" t="s">
        <v>13</v>
      </c>
      <c r="B9" s="2" t="s">
        <v>14</v>
      </c>
    </row>
    <row r="11" spans="1:3" ht="28.05" customHeight="1" x14ac:dyDescent="0.3">
      <c r="A11" s="3" t="s">
        <v>15</v>
      </c>
      <c r="B11" s="3" t="s">
        <v>16</v>
      </c>
      <c r="C11" s="3" t="s">
        <v>17</v>
      </c>
    </row>
    <row r="12" spans="1:3" ht="28.8" x14ac:dyDescent="0.3">
      <c r="A12" s="2" t="s">
        <v>18</v>
      </c>
      <c r="B12" s="2" t="s">
        <v>19</v>
      </c>
      <c r="C12" s="2" t="s">
        <v>20</v>
      </c>
    </row>
    <row r="13" spans="1:3" x14ac:dyDescent="0.3">
      <c r="A13" s="2" t="s">
        <v>21</v>
      </c>
      <c r="B13" s="2" t="s">
        <v>22</v>
      </c>
      <c r="C13" s="2" t="s">
        <v>23</v>
      </c>
    </row>
    <row r="14" spans="1:3" ht="28.8" x14ac:dyDescent="0.3">
      <c r="A14" s="2" t="s">
        <v>24</v>
      </c>
      <c r="B14" s="2" t="s">
        <v>25</v>
      </c>
      <c r="C14" s="2" t="s">
        <v>26</v>
      </c>
    </row>
    <row r="15" spans="1:3" ht="28.8" x14ac:dyDescent="0.3">
      <c r="A15" s="2" t="s">
        <v>27</v>
      </c>
      <c r="B15" s="2" t="s">
        <v>28</v>
      </c>
      <c r="C15" s="2" t="s">
        <v>29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showGridLines="0" workbookViewId="0">
      <selection sqref="A1:F1"/>
    </sheetView>
  </sheetViews>
  <sheetFormatPr defaultRowHeight="14.4" x14ac:dyDescent="0.3"/>
  <cols>
    <col min="1" max="2" width="26" customWidth="1"/>
    <col min="3" max="3" width="10" customWidth="1"/>
    <col min="4" max="4" width="22" customWidth="1"/>
    <col min="5" max="5" width="14" customWidth="1"/>
    <col min="6" max="6" width="18" customWidth="1"/>
  </cols>
  <sheetData>
    <row r="1" spans="1:6" ht="22.05" customHeight="1" x14ac:dyDescent="0.3">
      <c r="A1" s="10" t="s">
        <v>30</v>
      </c>
      <c r="B1" s="11"/>
      <c r="C1" s="11"/>
      <c r="D1" s="11"/>
      <c r="E1" s="11"/>
      <c r="F1" s="11"/>
    </row>
    <row r="3" spans="1:6" ht="37.950000000000003" customHeight="1" x14ac:dyDescent="0.3">
      <c r="A3" s="13" t="s">
        <v>31</v>
      </c>
      <c r="B3" s="11"/>
      <c r="C3" s="11"/>
      <c r="D3" s="11"/>
      <c r="E3" s="11"/>
      <c r="F3" s="11"/>
    </row>
    <row r="5" spans="1:6" x14ac:dyDescent="0.3">
      <c r="A5" s="12" t="s">
        <v>32</v>
      </c>
      <c r="B5" s="11"/>
      <c r="C5" s="11"/>
      <c r="D5" s="11"/>
      <c r="E5" s="11"/>
      <c r="F5" s="11"/>
    </row>
    <row r="6" spans="1:6" x14ac:dyDescent="0.3">
      <c r="A6" s="4" t="s">
        <v>33</v>
      </c>
      <c r="B6" s="5" t="s">
        <v>8</v>
      </c>
    </row>
    <row r="7" spans="1:6" x14ac:dyDescent="0.3">
      <c r="A7" s="4" t="s">
        <v>34</v>
      </c>
      <c r="B7" s="5" t="s">
        <v>10</v>
      </c>
    </row>
    <row r="8" spans="1:6" x14ac:dyDescent="0.3">
      <c r="A8" s="4" t="s">
        <v>35</v>
      </c>
      <c r="B8" s="5" t="s">
        <v>36</v>
      </c>
    </row>
    <row r="9" spans="1:6" ht="43.2" x14ac:dyDescent="0.3">
      <c r="A9" s="4" t="s">
        <v>37</v>
      </c>
      <c r="B9" s="5" t="s">
        <v>12</v>
      </c>
    </row>
    <row r="11" spans="1:6" x14ac:dyDescent="0.3">
      <c r="A11" s="12" t="s">
        <v>38</v>
      </c>
      <c r="B11" s="11"/>
      <c r="C11" s="11"/>
      <c r="D11" s="11"/>
      <c r="E11" s="11"/>
      <c r="F11" s="11"/>
    </row>
    <row r="12" spans="1:6" ht="28.05" customHeight="1" x14ac:dyDescent="0.3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44</v>
      </c>
    </row>
    <row r="13" spans="1:6" x14ac:dyDescent="0.3">
      <c r="A13" s="6" t="s">
        <v>45</v>
      </c>
      <c r="B13" s="6" t="s">
        <v>46</v>
      </c>
      <c r="C13" s="6">
        <f>COUNTA('10_KYC_Account_Verification'!A:A)-2</f>
        <v>5</v>
      </c>
      <c r="D13" s="6">
        <f>COUNTIF('10_KYC_Account_Verification'!H:H,"Critical")+COUNTIF('10_KYC_Account_Verification'!H:H,"High")</f>
        <v>5</v>
      </c>
      <c r="E13" s="6">
        <f>COUNTIF('10_KYC_Account_Verification'!I:I,"Negative")</f>
        <v>1</v>
      </c>
      <c r="F13" s="6">
        <f>COUNTIF('10_KYC_Account_Verification'!J:J,"Yes")</f>
        <v>0</v>
      </c>
    </row>
    <row r="14" spans="1:6" ht="28.8" x14ac:dyDescent="0.3">
      <c r="A14" s="6" t="s">
        <v>47</v>
      </c>
      <c r="B14" s="6" t="s">
        <v>48</v>
      </c>
      <c r="C14" s="6">
        <f>COUNTA('20_Responsible_Gaming_Limits'!A:A)-2</f>
        <v>6</v>
      </c>
      <c r="D14" s="6">
        <f>COUNTIF('20_Responsible_Gaming_Limits'!H:H,"Critical")+COUNTIF('20_Responsible_Gaming_Limits'!H:H,"High")</f>
        <v>5</v>
      </c>
      <c r="E14" s="6">
        <f>COUNTIF('20_Responsible_Gaming_Limits'!I:I,"Negative")</f>
        <v>2</v>
      </c>
      <c r="F14" s="6">
        <f>COUNTIF('20_Responsible_Gaming_Limits'!J:J,"Yes")</f>
        <v>0</v>
      </c>
    </row>
    <row r="15" spans="1:6" x14ac:dyDescent="0.3">
      <c r="A15" s="6" t="s">
        <v>49</v>
      </c>
      <c r="B15" s="6" t="s">
        <v>50</v>
      </c>
      <c r="C15" s="6">
        <f>COUNTA('30_Self_Exclusion_Timeouts'!A:A)-2</f>
        <v>5</v>
      </c>
      <c r="D15" s="6">
        <f>COUNTIF('30_Self_Exclusion_Timeouts'!H:H,"Critical")+COUNTIF('30_Self_Exclusion_Timeouts'!H:H,"High")</f>
        <v>5</v>
      </c>
      <c r="E15" s="6">
        <f>COUNTIF('30_Self_Exclusion_Timeouts'!I:I,"Negative")</f>
        <v>1</v>
      </c>
      <c r="F15" s="6">
        <f>COUNTIF('30_Self_Exclusion_Timeouts'!J:J,"Yes")</f>
        <v>0</v>
      </c>
    </row>
    <row r="16" spans="1:6" x14ac:dyDescent="0.3">
      <c r="A16" s="6" t="s">
        <v>51</v>
      </c>
      <c r="B16" s="6" t="s">
        <v>52</v>
      </c>
      <c r="C16" s="6">
        <f>COUNTA('40_Audit_Logging_Reporting'!A:A)-2</f>
        <v>5</v>
      </c>
      <c r="D16" s="6">
        <f>COUNTIF('40_Audit_Logging_Reporting'!H:H,"Critical")+COUNTIF('40_Audit_Logging_Reporting'!H:H,"High")</f>
        <v>5</v>
      </c>
      <c r="E16" s="6">
        <f>COUNTIF('40_Audit_Logging_Reporting'!I:I,"Negative")</f>
        <v>1</v>
      </c>
      <c r="F16" s="6">
        <f>COUNTIF('40_Audit_Logging_Reporting'!J:J,"Yes")</f>
        <v>1</v>
      </c>
    </row>
    <row r="17" spans="1:6" x14ac:dyDescent="0.3">
      <c r="A17" s="6" t="s">
        <v>53</v>
      </c>
      <c r="B17" s="6" t="s">
        <v>54</v>
      </c>
      <c r="C17" s="6">
        <f>COUNTA('50_Fraud_Access_Control'!A:A)-2</f>
        <v>5</v>
      </c>
      <c r="D17" s="6">
        <f>COUNTIF('50_Fraud_Access_Control'!H:H,"Critical")+COUNTIF('50_Fraud_Access_Control'!H:H,"High")</f>
        <v>5</v>
      </c>
      <c r="E17" s="6">
        <f>COUNTIF('50_Fraud_Access_Control'!I:I,"Negative")</f>
        <v>1</v>
      </c>
      <c r="F17" s="6">
        <f>COUNTIF('50_Fraud_Access_Control'!J:J,"Yes")</f>
        <v>1</v>
      </c>
    </row>
    <row r="18" spans="1:6" x14ac:dyDescent="0.3">
      <c r="A18" s="6" t="s">
        <v>55</v>
      </c>
      <c r="B18" s="6" t="s">
        <v>56</v>
      </c>
      <c r="C18" s="6">
        <f>COUNTA('60_Compliance_E2E'!A:A)-2</f>
        <v>4</v>
      </c>
      <c r="D18" s="6">
        <f>COUNTIF('60_Compliance_E2E'!H:H,"Critical")+COUNTIF('60_Compliance_E2E'!H:H,"High")</f>
        <v>4</v>
      </c>
      <c r="E18" s="6">
        <f>COUNTIF('60_Compliance_E2E'!I:I,"Negative")</f>
        <v>0</v>
      </c>
      <c r="F18" s="6">
        <f>COUNTIF('60_Compliance_E2E'!J:J,"Yes")</f>
        <v>0</v>
      </c>
    </row>
    <row r="19" spans="1:6" x14ac:dyDescent="0.3">
      <c r="A19" s="7" t="s">
        <v>57</v>
      </c>
      <c r="B19" s="7"/>
      <c r="C19" s="7">
        <f>SUM(C13:C18)</f>
        <v>30</v>
      </c>
      <c r="D19" s="7">
        <f>SUM(D13:D18)</f>
        <v>29</v>
      </c>
      <c r="E19" s="7">
        <f>SUM(E13:E18)</f>
        <v>6</v>
      </c>
      <c r="F19" s="7">
        <f>SUM(F13:F18)</f>
        <v>2</v>
      </c>
    </row>
    <row r="22" spans="1:6" x14ac:dyDescent="0.3">
      <c r="A22" s="12" t="s">
        <v>58</v>
      </c>
      <c r="B22" s="11"/>
      <c r="C22" s="11"/>
      <c r="D22" s="11"/>
      <c r="E22" s="11"/>
      <c r="F22" s="11"/>
    </row>
    <row r="23" spans="1:6" ht="28.05" customHeight="1" x14ac:dyDescent="0.3">
      <c r="A23" s="3" t="s">
        <v>59</v>
      </c>
      <c r="B23" s="3" t="s">
        <v>60</v>
      </c>
      <c r="C23" s="3" t="s">
        <v>61</v>
      </c>
      <c r="D23" s="3" t="s">
        <v>62</v>
      </c>
      <c r="E23" s="3" t="s">
        <v>63</v>
      </c>
    </row>
    <row r="24" spans="1:6" x14ac:dyDescent="0.3">
      <c r="A24" s="8" t="s">
        <v>8</v>
      </c>
      <c r="B24" s="8">
        <f>COUNTIF('10_KYC_Account_Verification'!K:K,"Not Run")+COUNTIF('20_Responsible_Gaming_Limits'!K:K,"Not Run")+COUNTIF('30_Self_Exclusion_Timeouts'!K:K,"Not Run")+COUNTIF('40_Audit_Logging_Reporting'!K:K,"Not Run")+COUNTIF('50_Fraud_Access_Control'!K:K,"Not Run")+COUNTIF('60_Compliance_E2E'!K:K,"Not Run")</f>
        <v>30</v>
      </c>
      <c r="D24" s="8" t="s">
        <v>64</v>
      </c>
      <c r="E24" s="8">
        <f>C19</f>
        <v>30</v>
      </c>
    </row>
    <row r="25" spans="1:6" x14ac:dyDescent="0.3">
      <c r="A25" s="8" t="s">
        <v>65</v>
      </c>
      <c r="B25" s="8">
        <f>COUNTIF('10_KYC_Account_Verification'!K:K,"Pass")+COUNTIF('20_Responsible_Gaming_Limits'!K:K,"Pass")+COUNTIF('30_Self_Exclusion_Timeouts'!K:K,"Pass")+COUNTIF('40_Audit_Logging_Reporting'!K:K,"Pass")+COUNTIF('50_Fraud_Access_Control'!K:K,"Pass")+COUNTIF('60_Compliance_E2E'!K:K,"Pass")</f>
        <v>0</v>
      </c>
      <c r="D25" s="8" t="s">
        <v>66</v>
      </c>
      <c r="E25" s="8">
        <f>SUM(B25:B27)</f>
        <v>0</v>
      </c>
    </row>
    <row r="26" spans="1:6" x14ac:dyDescent="0.3">
      <c r="A26" s="8" t="s">
        <v>67</v>
      </c>
      <c r="B26" s="8">
        <f>COUNTIF('10_KYC_Account_Verification'!K:K,"Fail")+COUNTIF('20_Responsible_Gaming_Limits'!K:K,"Fail")+COUNTIF('30_Self_Exclusion_Timeouts'!K:K,"Fail")+COUNTIF('40_Audit_Logging_Reporting'!K:K,"Fail")+COUNTIF('50_Fraud_Access_Control'!K:K,"Fail")+COUNTIF('60_Compliance_E2E'!K:K,"Fail")</f>
        <v>0</v>
      </c>
      <c r="D26" s="8" t="s">
        <v>68</v>
      </c>
      <c r="E26" s="9">
        <f>IFERROR(E25/E24,0)</f>
        <v>0</v>
      </c>
    </row>
    <row r="27" spans="1:6" x14ac:dyDescent="0.3">
      <c r="A27" s="8" t="s">
        <v>69</v>
      </c>
      <c r="B27" s="8">
        <f>COUNTIF('10_KYC_Account_Verification'!K:K,"Blocked")+COUNTIF('20_Responsible_Gaming_Limits'!K:K,"Blocked")+COUNTIF('30_Self_Exclusion_Timeouts'!K:K,"Blocked")+COUNTIF('40_Audit_Logging_Reporting'!K:K,"Blocked")+COUNTIF('50_Fraud_Access_Control'!K:K,"Blocked")+COUNTIF('60_Compliance_E2E'!K:K,"Blocked")</f>
        <v>0</v>
      </c>
      <c r="D27" s="8" t="s">
        <v>70</v>
      </c>
      <c r="E27" s="9">
        <f>IFERROR(B25/E25,0)</f>
        <v>0</v>
      </c>
    </row>
    <row r="28" spans="1:6" x14ac:dyDescent="0.3">
      <c r="D28" s="8" t="s">
        <v>71</v>
      </c>
      <c r="E28" s="9">
        <f>IFERROR(B26/E25,0)</f>
        <v>0</v>
      </c>
    </row>
  </sheetData>
  <mergeCells count="5">
    <mergeCell ref="A11:F11"/>
    <mergeCell ref="A1:F1"/>
    <mergeCell ref="A5:F5"/>
    <mergeCell ref="A22:F22"/>
    <mergeCell ref="A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showGridLines="0" tabSelected="1" workbookViewId="0">
      <selection activeCell="D9" sqref="A1:XFD1048576"/>
    </sheetView>
  </sheetViews>
  <sheetFormatPr defaultRowHeight="14.4" x14ac:dyDescent="0.3"/>
  <cols>
    <col min="1" max="1" width="7.77734375" bestFit="1" customWidth="1"/>
    <col min="2" max="2" width="23.21875" bestFit="1" customWidth="1"/>
    <col min="3" max="3" width="47.77734375" bestFit="1" customWidth="1"/>
    <col min="4" max="4" width="33.77734375" bestFit="1" customWidth="1"/>
    <col min="5" max="5" width="34.6640625" bestFit="1" customWidth="1"/>
    <col min="6" max="6" width="24.33203125" bestFit="1" customWidth="1"/>
    <col min="7" max="7" width="44" customWidth="1"/>
    <col min="8" max="8" width="7.33203125" bestFit="1" customWidth="1"/>
    <col min="9" max="9" width="8.77734375" bestFit="1" customWidth="1"/>
    <col min="10" max="10" width="20.77734375" bestFit="1" customWidth="1"/>
    <col min="11" max="11" width="7.88671875" bestFit="1" customWidth="1"/>
    <col min="12" max="12" width="21.109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83</v>
      </c>
      <c r="B3" s="6" t="s">
        <v>45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92</v>
      </c>
    </row>
    <row r="4" spans="1:12" ht="42" customHeight="1" x14ac:dyDescent="0.3">
      <c r="A4" s="6" t="s">
        <v>93</v>
      </c>
      <c r="B4" s="6" t="s">
        <v>45</v>
      </c>
      <c r="C4" s="6" t="s">
        <v>94</v>
      </c>
      <c r="D4" s="6" t="s">
        <v>95</v>
      </c>
      <c r="E4" s="6" t="s">
        <v>96</v>
      </c>
      <c r="F4" s="6" t="s">
        <v>97</v>
      </c>
      <c r="G4" s="6" t="s">
        <v>98</v>
      </c>
      <c r="H4" s="6" t="s">
        <v>89</v>
      </c>
      <c r="I4" s="6" t="s">
        <v>99</v>
      </c>
      <c r="J4" s="6" t="s">
        <v>91</v>
      </c>
      <c r="K4" s="6" t="s">
        <v>8</v>
      </c>
      <c r="L4" s="6" t="s">
        <v>100</v>
      </c>
    </row>
    <row r="5" spans="1:12" ht="42" customHeight="1" x14ac:dyDescent="0.3">
      <c r="A5" s="6" t="s">
        <v>101</v>
      </c>
      <c r="B5" s="6" t="s">
        <v>45</v>
      </c>
      <c r="C5" s="6" t="s">
        <v>102</v>
      </c>
      <c r="D5" s="6" t="s">
        <v>103</v>
      </c>
      <c r="E5" s="6" t="s">
        <v>104</v>
      </c>
      <c r="F5" s="6" t="s">
        <v>105</v>
      </c>
      <c r="G5" s="6" t="s">
        <v>106</v>
      </c>
      <c r="H5" s="6" t="s">
        <v>10</v>
      </c>
      <c r="I5" s="6" t="s">
        <v>107</v>
      </c>
      <c r="J5" s="6" t="s">
        <v>91</v>
      </c>
      <c r="K5" s="6" t="s">
        <v>8</v>
      </c>
      <c r="L5" s="6" t="s">
        <v>108</v>
      </c>
    </row>
    <row r="6" spans="1:12" ht="42" customHeight="1" x14ac:dyDescent="0.3">
      <c r="A6" s="6" t="s">
        <v>109</v>
      </c>
      <c r="B6" s="6" t="s">
        <v>45</v>
      </c>
      <c r="C6" s="6" t="s">
        <v>110</v>
      </c>
      <c r="D6" s="6" t="s">
        <v>111</v>
      </c>
      <c r="E6" s="6" t="s">
        <v>112</v>
      </c>
      <c r="F6" s="6" t="s">
        <v>113</v>
      </c>
      <c r="G6" s="6" t="s">
        <v>114</v>
      </c>
      <c r="H6" s="6" t="s">
        <v>10</v>
      </c>
      <c r="I6" s="6" t="s">
        <v>99</v>
      </c>
      <c r="J6" s="6" t="s">
        <v>91</v>
      </c>
      <c r="K6" s="6" t="s">
        <v>8</v>
      </c>
      <c r="L6" s="6" t="s">
        <v>115</v>
      </c>
    </row>
    <row r="7" spans="1:12" ht="42" customHeight="1" x14ac:dyDescent="0.3">
      <c r="A7" s="6" t="s">
        <v>116</v>
      </c>
      <c r="B7" s="6" t="s">
        <v>45</v>
      </c>
      <c r="C7" s="6" t="s">
        <v>117</v>
      </c>
      <c r="D7" s="6" t="s">
        <v>118</v>
      </c>
      <c r="E7" s="6" t="s">
        <v>119</v>
      </c>
      <c r="F7" s="6" t="s">
        <v>120</v>
      </c>
      <c r="G7" s="6" t="s">
        <v>121</v>
      </c>
      <c r="H7" s="6" t="s">
        <v>10</v>
      </c>
      <c r="I7" s="6" t="s">
        <v>99</v>
      </c>
      <c r="J7" s="6" t="s">
        <v>91</v>
      </c>
      <c r="K7" s="6" t="s">
        <v>8</v>
      </c>
      <c r="L7" s="6" t="s">
        <v>122</v>
      </c>
    </row>
  </sheetData>
  <mergeCells count="1">
    <mergeCell ref="A1:L1"/>
  </mergeCells>
  <conditionalFormatting sqref="H3:H7">
    <cfRule type="expression" dxfId="35" priority="5">
      <formula>H3="Critical"</formula>
    </cfRule>
    <cfRule type="expression" dxfId="34" priority="6">
      <formula>H3="High"</formula>
    </cfRule>
  </conditionalFormatting>
  <conditionalFormatting sqref="K3:K7">
    <cfRule type="expression" dxfId="33" priority="1">
      <formula>K3="Pass"</formula>
    </cfRule>
    <cfRule type="expression" dxfId="32" priority="2">
      <formula>K3="Fail"</formula>
    </cfRule>
    <cfRule type="expression" dxfId="31" priority="3">
      <formula>K3="Blocked"</formula>
    </cfRule>
    <cfRule type="expression" dxfId="30" priority="4">
      <formula>K3="Not Run"</formula>
    </cfRule>
  </conditionalFormatting>
  <dataValidations count="4">
    <dataValidation type="list" sqref="K3:K7" xr:uid="{00000000-0002-0000-0200-000000000000}">
      <formula1>"Not Run,Pass,Fail,Blocked"</formula1>
    </dataValidation>
    <dataValidation type="list" sqref="H3:H7" xr:uid="{00000000-0002-0000-0200-000001000000}">
      <formula1>"Critical,High,Medium,Low"</formula1>
    </dataValidation>
    <dataValidation type="list" sqref="I3:I7" xr:uid="{00000000-0002-0000-0200-000002000000}">
      <formula1>"Positive,Negative,Regression,Integration,Security,Usability,E2E"</formula1>
    </dataValidation>
    <dataValidation type="list" sqref="J3:J7" xr:uid="{00000000-0002-0000-02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workbookViewId="0">
      <selection activeCell="D15" sqref="A1:XFD1048576"/>
    </sheetView>
  </sheetViews>
  <sheetFormatPr defaultRowHeight="14.4" x14ac:dyDescent="0.3"/>
  <cols>
    <col min="1" max="1" width="7.88671875" bestFit="1" customWidth="1"/>
    <col min="2" max="2" width="22.77734375" bestFit="1" customWidth="1"/>
    <col min="3" max="3" width="47.77734375" bestFit="1" customWidth="1"/>
    <col min="4" max="4" width="33.44140625" bestFit="1" customWidth="1"/>
    <col min="5" max="5" width="40" customWidth="1"/>
    <col min="6" max="6" width="24" bestFit="1" customWidth="1"/>
    <col min="7" max="7" width="43.5546875" bestFit="1" customWidth="1"/>
    <col min="8" max="8" width="8.21875" bestFit="1" customWidth="1"/>
    <col min="9" max="9" width="10.44140625" bestFit="1" customWidth="1"/>
    <col min="10" max="10" width="20.77734375" bestFit="1" customWidth="1"/>
    <col min="11" max="11" width="7.88671875" bestFit="1" customWidth="1"/>
    <col min="12" max="12" width="18.8867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123</v>
      </c>
      <c r="B3" s="6" t="s">
        <v>47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89</v>
      </c>
      <c r="I3" s="6" t="s">
        <v>107</v>
      </c>
      <c r="J3" s="6" t="s">
        <v>91</v>
      </c>
      <c r="K3" s="6" t="s">
        <v>8</v>
      </c>
      <c r="L3" s="6" t="s">
        <v>129</v>
      </c>
    </row>
    <row r="4" spans="1:12" ht="42" customHeight="1" x14ac:dyDescent="0.3">
      <c r="A4" s="6" t="s">
        <v>130</v>
      </c>
      <c r="B4" s="6" t="s">
        <v>47</v>
      </c>
      <c r="C4" s="6" t="s">
        <v>131</v>
      </c>
      <c r="D4" s="6" t="s">
        <v>132</v>
      </c>
      <c r="E4" s="6" t="s">
        <v>133</v>
      </c>
      <c r="F4" s="6" t="s">
        <v>134</v>
      </c>
      <c r="G4" s="6" t="s">
        <v>135</v>
      </c>
      <c r="H4" s="6" t="s">
        <v>89</v>
      </c>
      <c r="I4" s="6" t="s">
        <v>107</v>
      </c>
      <c r="J4" s="6" t="s">
        <v>91</v>
      </c>
      <c r="K4" s="6" t="s">
        <v>8</v>
      </c>
      <c r="L4" s="6" t="s">
        <v>136</v>
      </c>
    </row>
    <row r="5" spans="1:12" ht="42" customHeight="1" x14ac:dyDescent="0.3">
      <c r="A5" s="6" t="s">
        <v>137</v>
      </c>
      <c r="B5" s="6" t="s">
        <v>47</v>
      </c>
      <c r="C5" s="6" t="s">
        <v>138</v>
      </c>
      <c r="D5" s="6" t="s">
        <v>139</v>
      </c>
      <c r="E5" s="6" t="s">
        <v>140</v>
      </c>
      <c r="F5" s="6" t="s">
        <v>141</v>
      </c>
      <c r="G5" s="6" t="s">
        <v>142</v>
      </c>
      <c r="H5" s="6" t="s">
        <v>10</v>
      </c>
      <c r="I5" s="6" t="s">
        <v>143</v>
      </c>
      <c r="J5" s="6" t="s">
        <v>91</v>
      </c>
      <c r="K5" s="6" t="s">
        <v>8</v>
      </c>
      <c r="L5" s="6" t="s">
        <v>144</v>
      </c>
    </row>
    <row r="6" spans="1:12" ht="42" customHeight="1" x14ac:dyDescent="0.3">
      <c r="A6" s="6" t="s">
        <v>145</v>
      </c>
      <c r="B6" s="6" t="s">
        <v>47</v>
      </c>
      <c r="C6" s="6" t="s">
        <v>146</v>
      </c>
      <c r="D6" s="6" t="s">
        <v>147</v>
      </c>
      <c r="E6" s="6" t="s">
        <v>148</v>
      </c>
      <c r="F6" s="6" t="s">
        <v>149</v>
      </c>
      <c r="G6" s="6" t="s">
        <v>150</v>
      </c>
      <c r="H6" s="6" t="s">
        <v>10</v>
      </c>
      <c r="I6" s="6" t="s">
        <v>90</v>
      </c>
      <c r="J6" s="6" t="s">
        <v>91</v>
      </c>
      <c r="K6" s="6" t="s">
        <v>8</v>
      </c>
      <c r="L6" s="6" t="s">
        <v>151</v>
      </c>
    </row>
    <row r="7" spans="1:12" ht="42" customHeight="1" x14ac:dyDescent="0.3">
      <c r="A7" s="6" t="s">
        <v>152</v>
      </c>
      <c r="B7" s="6" t="s">
        <v>47</v>
      </c>
      <c r="C7" s="6" t="s">
        <v>153</v>
      </c>
      <c r="D7" s="6" t="s">
        <v>154</v>
      </c>
      <c r="E7" s="6" t="s">
        <v>155</v>
      </c>
      <c r="F7" s="6" t="s">
        <v>156</v>
      </c>
      <c r="G7" s="6" t="s">
        <v>157</v>
      </c>
      <c r="H7" s="6" t="s">
        <v>158</v>
      </c>
      <c r="I7" s="6" t="s">
        <v>159</v>
      </c>
      <c r="J7" s="6" t="s">
        <v>91</v>
      </c>
      <c r="K7" s="6" t="s">
        <v>8</v>
      </c>
      <c r="L7" s="6" t="s">
        <v>160</v>
      </c>
    </row>
    <row r="8" spans="1:12" ht="42" customHeight="1" x14ac:dyDescent="0.3">
      <c r="A8" s="6" t="s">
        <v>161</v>
      </c>
      <c r="B8" s="6" t="s">
        <v>47</v>
      </c>
      <c r="C8" s="6" t="s">
        <v>162</v>
      </c>
      <c r="D8" s="6" t="s">
        <v>163</v>
      </c>
      <c r="E8" s="6" t="s">
        <v>164</v>
      </c>
      <c r="F8" s="6" t="s">
        <v>165</v>
      </c>
      <c r="G8" s="6" t="s">
        <v>166</v>
      </c>
      <c r="H8" s="6" t="s">
        <v>89</v>
      </c>
      <c r="I8" s="6" t="s">
        <v>99</v>
      </c>
      <c r="J8" s="6" t="s">
        <v>91</v>
      </c>
      <c r="K8" s="6" t="s">
        <v>8</v>
      </c>
      <c r="L8" s="6" t="s">
        <v>167</v>
      </c>
    </row>
  </sheetData>
  <mergeCells count="1">
    <mergeCell ref="A1:L1"/>
  </mergeCells>
  <conditionalFormatting sqref="H3:H8">
    <cfRule type="expression" dxfId="29" priority="5">
      <formula>H3="Critical"</formula>
    </cfRule>
    <cfRule type="expression" dxfId="28" priority="6">
      <formula>H3="High"</formula>
    </cfRule>
  </conditionalFormatting>
  <conditionalFormatting sqref="K3:K8">
    <cfRule type="expression" dxfId="27" priority="1">
      <formula>K3="Pass"</formula>
    </cfRule>
    <cfRule type="expression" dxfId="26" priority="2">
      <formula>K3="Fail"</formula>
    </cfRule>
    <cfRule type="expression" dxfId="25" priority="3">
      <formula>K3="Blocked"</formula>
    </cfRule>
    <cfRule type="expression" dxfId="24" priority="4">
      <formula>K3="Not Run"</formula>
    </cfRule>
  </conditionalFormatting>
  <dataValidations count="4">
    <dataValidation type="list" sqref="K3:K8" xr:uid="{00000000-0002-0000-0300-000000000000}">
      <formula1>"Not Run,Pass,Fail,Blocked"</formula1>
    </dataValidation>
    <dataValidation type="list" sqref="H3:H8" xr:uid="{00000000-0002-0000-0300-000001000000}">
      <formula1>"Critical,High,Medium,Low"</formula1>
    </dataValidation>
    <dataValidation type="list" sqref="I3:I8" xr:uid="{00000000-0002-0000-0300-000002000000}">
      <formula1>"Positive,Negative,Regression,Integration,Security,Usability,E2E"</formula1>
    </dataValidation>
    <dataValidation type="list" sqref="J3:J8" xr:uid="{00000000-0002-0000-03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showGridLines="0" workbookViewId="0">
      <selection activeCell="D16" sqref="A1:XFD1048576"/>
    </sheetView>
  </sheetViews>
  <sheetFormatPr defaultRowHeight="14.4" x14ac:dyDescent="0.3"/>
  <cols>
    <col min="1" max="1" width="7.44140625" bestFit="1" customWidth="1"/>
    <col min="2" max="2" width="23.77734375" bestFit="1" customWidth="1"/>
    <col min="3" max="3" width="47.6640625" bestFit="1" customWidth="1"/>
    <col min="4" max="4" width="32.21875" bestFit="1" customWidth="1"/>
    <col min="5" max="5" width="39.6640625" bestFit="1" customWidth="1"/>
    <col min="6" max="6" width="28.44140625" bestFit="1" customWidth="1"/>
    <col min="7" max="7" width="43.554687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2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168</v>
      </c>
      <c r="B3" s="6" t="s">
        <v>49</v>
      </c>
      <c r="C3" s="6" t="s">
        <v>169</v>
      </c>
      <c r="D3" s="6" t="s">
        <v>170</v>
      </c>
      <c r="E3" s="6" t="s">
        <v>171</v>
      </c>
      <c r="F3" s="6" t="s">
        <v>172</v>
      </c>
      <c r="G3" s="6" t="s">
        <v>173</v>
      </c>
      <c r="H3" s="6" t="s">
        <v>89</v>
      </c>
      <c r="I3" s="6" t="s">
        <v>90</v>
      </c>
      <c r="J3" s="6" t="s">
        <v>91</v>
      </c>
      <c r="K3" s="6" t="s">
        <v>8</v>
      </c>
      <c r="L3" s="6" t="s">
        <v>174</v>
      </c>
    </row>
    <row r="4" spans="1:12" ht="42" customHeight="1" x14ac:dyDescent="0.3">
      <c r="A4" s="6" t="s">
        <v>175</v>
      </c>
      <c r="B4" s="6" t="s">
        <v>49</v>
      </c>
      <c r="C4" s="6" t="s">
        <v>176</v>
      </c>
      <c r="D4" s="6" t="s">
        <v>177</v>
      </c>
      <c r="E4" s="6" t="s">
        <v>178</v>
      </c>
      <c r="F4" s="6" t="s">
        <v>179</v>
      </c>
      <c r="G4" s="6" t="s">
        <v>180</v>
      </c>
      <c r="H4" s="6" t="s">
        <v>89</v>
      </c>
      <c r="I4" s="6" t="s">
        <v>107</v>
      </c>
      <c r="J4" s="6" t="s">
        <v>91</v>
      </c>
      <c r="K4" s="6" t="s">
        <v>8</v>
      </c>
      <c r="L4" s="6" t="s">
        <v>181</v>
      </c>
    </row>
    <row r="5" spans="1:12" ht="42" customHeight="1" x14ac:dyDescent="0.3">
      <c r="A5" s="6" t="s">
        <v>182</v>
      </c>
      <c r="B5" s="6" t="s">
        <v>49</v>
      </c>
      <c r="C5" s="6" t="s">
        <v>183</v>
      </c>
      <c r="D5" s="6" t="s">
        <v>184</v>
      </c>
      <c r="E5" s="6" t="s">
        <v>185</v>
      </c>
      <c r="F5" s="6" t="s">
        <v>186</v>
      </c>
      <c r="G5" s="6" t="s">
        <v>187</v>
      </c>
      <c r="H5" s="6" t="s">
        <v>89</v>
      </c>
      <c r="I5" s="6" t="s">
        <v>99</v>
      </c>
      <c r="J5" s="6" t="s">
        <v>91</v>
      </c>
      <c r="K5" s="6" t="s">
        <v>8</v>
      </c>
      <c r="L5" s="6" t="s">
        <v>188</v>
      </c>
    </row>
    <row r="6" spans="1:12" ht="42" customHeight="1" x14ac:dyDescent="0.3">
      <c r="A6" s="6" t="s">
        <v>189</v>
      </c>
      <c r="B6" s="6" t="s">
        <v>49</v>
      </c>
      <c r="C6" s="6" t="s">
        <v>190</v>
      </c>
      <c r="D6" s="6" t="s">
        <v>191</v>
      </c>
      <c r="E6" s="6" t="s">
        <v>192</v>
      </c>
      <c r="F6" s="6" t="s">
        <v>193</v>
      </c>
      <c r="G6" s="6" t="s">
        <v>194</v>
      </c>
      <c r="H6" s="6" t="s">
        <v>10</v>
      </c>
      <c r="I6" s="6" t="s">
        <v>143</v>
      </c>
      <c r="J6" s="6" t="s">
        <v>91</v>
      </c>
      <c r="K6" s="6" t="s">
        <v>8</v>
      </c>
      <c r="L6" s="6" t="s">
        <v>195</v>
      </c>
    </row>
    <row r="7" spans="1:12" ht="42" customHeight="1" x14ac:dyDescent="0.3">
      <c r="A7" s="6" t="s">
        <v>196</v>
      </c>
      <c r="B7" s="6" t="s">
        <v>49</v>
      </c>
      <c r="C7" s="6" t="s">
        <v>197</v>
      </c>
      <c r="D7" s="6" t="s">
        <v>198</v>
      </c>
      <c r="E7" s="6" t="s">
        <v>199</v>
      </c>
      <c r="F7" s="6" t="s">
        <v>200</v>
      </c>
      <c r="G7" s="6" t="s">
        <v>201</v>
      </c>
      <c r="H7" s="6" t="s">
        <v>10</v>
      </c>
      <c r="I7" s="6" t="s">
        <v>202</v>
      </c>
      <c r="J7" s="6" t="s">
        <v>91</v>
      </c>
      <c r="K7" s="6" t="s">
        <v>8</v>
      </c>
      <c r="L7" s="6" t="s">
        <v>203</v>
      </c>
    </row>
  </sheetData>
  <mergeCells count="1">
    <mergeCell ref="A1:L1"/>
  </mergeCells>
  <conditionalFormatting sqref="H3:H7">
    <cfRule type="expression" dxfId="23" priority="5">
      <formula>H3="Critical"</formula>
    </cfRule>
    <cfRule type="expression" dxfId="22" priority="6">
      <formula>H3="High"</formula>
    </cfRule>
  </conditionalFormatting>
  <conditionalFormatting sqref="K3:K7">
    <cfRule type="expression" dxfId="21" priority="1">
      <formula>K3="Pass"</formula>
    </cfRule>
    <cfRule type="expression" dxfId="20" priority="2">
      <formula>K3="Fail"</formula>
    </cfRule>
    <cfRule type="expression" dxfId="19" priority="3">
      <formula>K3="Blocked"</formula>
    </cfRule>
    <cfRule type="expression" dxfId="18" priority="4">
      <formula>K3="Not Run"</formula>
    </cfRule>
  </conditionalFormatting>
  <dataValidations count="4">
    <dataValidation type="list" sqref="K3:K7" xr:uid="{00000000-0002-0000-0400-000000000000}">
      <formula1>"Not Run,Pass,Fail,Blocked"</formula1>
    </dataValidation>
    <dataValidation type="list" sqref="H3:H7" xr:uid="{00000000-0002-0000-0400-000001000000}">
      <formula1>"Critical,High,Medium,Low"</formula1>
    </dataValidation>
    <dataValidation type="list" sqref="I3:I7" xr:uid="{00000000-0002-0000-0400-000002000000}">
      <formula1>"Positive,Negative,Regression,Integration,Security,Usability,E2E"</formula1>
    </dataValidation>
    <dataValidation type="list" sqref="J3:J7" xr:uid="{00000000-0002-0000-04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8.33203125" bestFit="1" customWidth="1"/>
    <col min="2" max="2" width="23.77734375" bestFit="1" customWidth="1"/>
    <col min="3" max="3" width="48" customWidth="1"/>
    <col min="4" max="4" width="32.109375" bestFit="1" customWidth="1"/>
    <col min="5" max="5" width="39.21875" bestFit="1" customWidth="1"/>
    <col min="6" max="6" width="28.6640625" bestFit="1" customWidth="1"/>
    <col min="7" max="7" width="43.2187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1.664062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204</v>
      </c>
      <c r="B3" s="6" t="s">
        <v>51</v>
      </c>
      <c r="C3" s="6" t="s">
        <v>205</v>
      </c>
      <c r="D3" s="6" t="s">
        <v>206</v>
      </c>
      <c r="E3" s="6" t="s">
        <v>207</v>
      </c>
      <c r="F3" s="6" t="s">
        <v>208</v>
      </c>
      <c r="G3" s="6" t="s">
        <v>209</v>
      </c>
      <c r="H3" s="6" t="s">
        <v>89</v>
      </c>
      <c r="I3" s="6" t="s">
        <v>202</v>
      </c>
      <c r="J3" s="6" t="s">
        <v>91</v>
      </c>
      <c r="K3" s="6" t="s">
        <v>8</v>
      </c>
      <c r="L3" s="6" t="s">
        <v>210</v>
      </c>
    </row>
    <row r="4" spans="1:12" ht="42" customHeight="1" x14ac:dyDescent="0.3">
      <c r="A4" s="6" t="s">
        <v>211</v>
      </c>
      <c r="B4" s="6" t="s">
        <v>51</v>
      </c>
      <c r="C4" s="6" t="s">
        <v>212</v>
      </c>
      <c r="D4" s="6" t="s">
        <v>213</v>
      </c>
      <c r="E4" s="6" t="s">
        <v>214</v>
      </c>
      <c r="F4" s="6" t="s">
        <v>215</v>
      </c>
      <c r="G4" s="6" t="s">
        <v>216</v>
      </c>
      <c r="H4" s="6" t="s">
        <v>10</v>
      </c>
      <c r="I4" s="6" t="s">
        <v>99</v>
      </c>
      <c r="J4" s="6" t="s">
        <v>91</v>
      </c>
      <c r="K4" s="6" t="s">
        <v>8</v>
      </c>
      <c r="L4" s="6" t="s">
        <v>217</v>
      </c>
    </row>
    <row r="5" spans="1:12" ht="42" customHeight="1" x14ac:dyDescent="0.3">
      <c r="A5" s="6" t="s">
        <v>218</v>
      </c>
      <c r="B5" s="6" t="s">
        <v>51</v>
      </c>
      <c r="C5" s="6" t="s">
        <v>219</v>
      </c>
      <c r="D5" s="6" t="s">
        <v>220</v>
      </c>
      <c r="E5" s="6" t="s">
        <v>221</v>
      </c>
      <c r="F5" s="6" t="s">
        <v>222</v>
      </c>
      <c r="G5" s="6" t="s">
        <v>223</v>
      </c>
      <c r="H5" s="6" t="s">
        <v>10</v>
      </c>
      <c r="I5" s="6" t="s">
        <v>143</v>
      </c>
      <c r="J5" s="6" t="s">
        <v>91</v>
      </c>
      <c r="K5" s="6" t="s">
        <v>8</v>
      </c>
      <c r="L5" s="6" t="s">
        <v>224</v>
      </c>
    </row>
    <row r="6" spans="1:12" ht="42" customHeight="1" x14ac:dyDescent="0.3">
      <c r="A6" s="6" t="s">
        <v>225</v>
      </c>
      <c r="B6" s="6" t="s">
        <v>51</v>
      </c>
      <c r="C6" s="6" t="s">
        <v>226</v>
      </c>
      <c r="D6" s="6" t="s">
        <v>227</v>
      </c>
      <c r="E6" s="6" t="s">
        <v>228</v>
      </c>
      <c r="F6" s="6" t="s">
        <v>229</v>
      </c>
      <c r="G6" s="6" t="s">
        <v>230</v>
      </c>
      <c r="H6" s="6" t="s">
        <v>89</v>
      </c>
      <c r="I6" s="6" t="s">
        <v>107</v>
      </c>
      <c r="J6" s="6" t="s">
        <v>231</v>
      </c>
      <c r="K6" s="6" t="s">
        <v>8</v>
      </c>
      <c r="L6" s="6" t="s">
        <v>232</v>
      </c>
    </row>
    <row r="7" spans="1:12" ht="42" customHeight="1" x14ac:dyDescent="0.3">
      <c r="A7" s="6" t="s">
        <v>233</v>
      </c>
      <c r="B7" s="6" t="s">
        <v>51</v>
      </c>
      <c r="C7" s="6" t="s">
        <v>234</v>
      </c>
      <c r="D7" s="6" t="s">
        <v>235</v>
      </c>
      <c r="E7" s="6" t="s">
        <v>236</v>
      </c>
      <c r="F7" s="6" t="s">
        <v>237</v>
      </c>
      <c r="G7" s="6" t="s">
        <v>238</v>
      </c>
      <c r="H7" s="6" t="s">
        <v>10</v>
      </c>
      <c r="I7" s="6" t="s">
        <v>90</v>
      </c>
      <c r="J7" s="6" t="s">
        <v>91</v>
      </c>
      <c r="K7" s="6" t="s">
        <v>8</v>
      </c>
      <c r="L7" s="6" t="s">
        <v>239</v>
      </c>
    </row>
  </sheetData>
  <mergeCells count="1">
    <mergeCell ref="A1:L1"/>
  </mergeCells>
  <conditionalFormatting sqref="H3:H7">
    <cfRule type="expression" dxfId="17" priority="5">
      <formula>H3="Critical"</formula>
    </cfRule>
    <cfRule type="expression" dxfId="16" priority="6">
      <formula>H3="High"</formula>
    </cfRule>
  </conditionalFormatting>
  <conditionalFormatting sqref="K3:K7">
    <cfRule type="expression" dxfId="15" priority="1">
      <formula>K3="Pass"</formula>
    </cfRule>
    <cfRule type="expression" dxfId="14" priority="2">
      <formula>K3="Fail"</formula>
    </cfRule>
    <cfRule type="expression" dxfId="13" priority="3">
      <formula>K3="Blocked"</formula>
    </cfRule>
    <cfRule type="expression" dxfId="12" priority="4">
      <formula>K3="Not Run"</formula>
    </cfRule>
  </conditionalFormatting>
  <dataValidations count="4">
    <dataValidation type="list" sqref="K3:K7" xr:uid="{00000000-0002-0000-0500-000000000000}">
      <formula1>"Not Run,Pass,Fail,Blocked"</formula1>
    </dataValidation>
    <dataValidation type="list" sqref="H3:H7" xr:uid="{00000000-0002-0000-0500-000001000000}">
      <formula1>"Critical,High,Medium,Low"</formula1>
    </dataValidation>
    <dataValidation type="list" sqref="I3:I7" xr:uid="{00000000-0002-0000-0500-000002000000}">
      <formula1>"Positive,Negative,Regression,Integration,Security,Usability,E2E"</formula1>
    </dataValidation>
    <dataValidation type="list" sqref="J3:J7" xr:uid="{00000000-0002-0000-05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showGridLines="0" topLeftCell="D1" workbookViewId="0">
      <selection sqref="A1:XFD1048576"/>
    </sheetView>
  </sheetViews>
  <sheetFormatPr defaultRowHeight="14.4" x14ac:dyDescent="0.3"/>
  <cols>
    <col min="1" max="1" width="7.88671875" bestFit="1" customWidth="1"/>
    <col min="2" max="2" width="19.5546875" bestFit="1" customWidth="1"/>
    <col min="3" max="3" width="48" customWidth="1"/>
    <col min="4" max="4" width="31" bestFit="1" customWidth="1"/>
    <col min="5" max="5" width="39.77734375" bestFit="1" customWidth="1"/>
    <col min="6" max="6" width="21.6640625" bestFit="1" customWidth="1"/>
    <col min="7" max="7" width="43.77734375" bestFit="1" customWidth="1"/>
    <col min="8" max="8" width="7.33203125" bestFit="1" customWidth="1"/>
    <col min="9" max="9" width="10.5546875" bestFit="1" customWidth="1"/>
    <col min="10" max="10" width="20.77734375" bestFit="1" customWidth="1"/>
    <col min="11" max="11" width="7.88671875" bestFit="1" customWidth="1"/>
    <col min="12" max="12" width="20.777343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240</v>
      </c>
      <c r="B3" s="6" t="s">
        <v>53</v>
      </c>
      <c r="C3" s="6" t="s">
        <v>241</v>
      </c>
      <c r="D3" s="6" t="s">
        <v>242</v>
      </c>
      <c r="E3" s="6" t="s">
        <v>243</v>
      </c>
      <c r="F3" s="6" t="s">
        <v>244</v>
      </c>
      <c r="G3" s="6" t="s">
        <v>245</v>
      </c>
      <c r="H3" s="6" t="s">
        <v>10</v>
      </c>
      <c r="I3" s="6" t="s">
        <v>202</v>
      </c>
      <c r="J3" s="6" t="s">
        <v>91</v>
      </c>
      <c r="K3" s="6" t="s">
        <v>8</v>
      </c>
      <c r="L3" s="6" t="s">
        <v>246</v>
      </c>
    </row>
    <row r="4" spans="1:12" ht="42" customHeight="1" x14ac:dyDescent="0.3">
      <c r="A4" s="6" t="s">
        <v>247</v>
      </c>
      <c r="B4" s="6" t="s">
        <v>53</v>
      </c>
      <c r="C4" s="6" t="s">
        <v>248</v>
      </c>
      <c r="D4" s="6" t="s">
        <v>249</v>
      </c>
      <c r="E4" s="6" t="s">
        <v>250</v>
      </c>
      <c r="F4" s="6" t="s">
        <v>251</v>
      </c>
      <c r="G4" s="6" t="s">
        <v>252</v>
      </c>
      <c r="H4" s="6" t="s">
        <v>89</v>
      </c>
      <c r="I4" s="6" t="s">
        <v>99</v>
      </c>
      <c r="J4" s="6" t="s">
        <v>91</v>
      </c>
      <c r="K4" s="6" t="s">
        <v>8</v>
      </c>
      <c r="L4" s="6" t="s">
        <v>253</v>
      </c>
    </row>
    <row r="5" spans="1:12" ht="42" customHeight="1" x14ac:dyDescent="0.3">
      <c r="A5" s="6" t="s">
        <v>254</v>
      </c>
      <c r="B5" s="6" t="s">
        <v>53</v>
      </c>
      <c r="C5" s="6" t="s">
        <v>255</v>
      </c>
      <c r="D5" s="6" t="s">
        <v>256</v>
      </c>
      <c r="E5" s="6" t="s">
        <v>257</v>
      </c>
      <c r="F5" s="6" t="s">
        <v>258</v>
      </c>
      <c r="G5" s="6" t="s">
        <v>259</v>
      </c>
      <c r="H5" s="6" t="s">
        <v>10</v>
      </c>
      <c r="I5" s="6" t="s">
        <v>99</v>
      </c>
      <c r="J5" s="6" t="s">
        <v>91</v>
      </c>
      <c r="K5" s="6" t="s">
        <v>8</v>
      </c>
      <c r="L5" s="6" t="s">
        <v>260</v>
      </c>
    </row>
    <row r="6" spans="1:12" ht="42" customHeight="1" x14ac:dyDescent="0.3">
      <c r="A6" s="6" t="s">
        <v>261</v>
      </c>
      <c r="B6" s="6" t="s">
        <v>53</v>
      </c>
      <c r="C6" s="6" t="s">
        <v>262</v>
      </c>
      <c r="D6" s="6" t="s">
        <v>263</v>
      </c>
      <c r="E6" s="6" t="s">
        <v>264</v>
      </c>
      <c r="F6" s="6" t="s">
        <v>229</v>
      </c>
      <c r="G6" s="6" t="s">
        <v>265</v>
      </c>
      <c r="H6" s="6" t="s">
        <v>89</v>
      </c>
      <c r="I6" s="6" t="s">
        <v>107</v>
      </c>
      <c r="J6" s="6" t="s">
        <v>231</v>
      </c>
      <c r="K6" s="6" t="s">
        <v>8</v>
      </c>
      <c r="L6" s="6" t="s">
        <v>266</v>
      </c>
    </row>
    <row r="7" spans="1:12" ht="42" customHeight="1" x14ac:dyDescent="0.3">
      <c r="A7" s="6" t="s">
        <v>267</v>
      </c>
      <c r="B7" s="6" t="s">
        <v>53</v>
      </c>
      <c r="C7" s="6" t="s">
        <v>268</v>
      </c>
      <c r="D7" s="6" t="s">
        <v>269</v>
      </c>
      <c r="E7" s="6" t="s">
        <v>270</v>
      </c>
      <c r="F7" s="6" t="s">
        <v>271</v>
      </c>
      <c r="G7" s="6" t="s">
        <v>272</v>
      </c>
      <c r="H7" s="6" t="s">
        <v>10</v>
      </c>
      <c r="I7" s="6" t="s">
        <v>90</v>
      </c>
      <c r="J7" s="6" t="s">
        <v>91</v>
      </c>
      <c r="K7" s="6" t="s">
        <v>8</v>
      </c>
      <c r="L7" s="6" t="s">
        <v>273</v>
      </c>
    </row>
  </sheetData>
  <mergeCells count="1">
    <mergeCell ref="A1:L1"/>
  </mergeCells>
  <conditionalFormatting sqref="H3:H7">
    <cfRule type="expression" dxfId="11" priority="5">
      <formula>H3="Critical"</formula>
    </cfRule>
    <cfRule type="expression" dxfId="10" priority="6">
      <formula>H3="High"</formula>
    </cfRule>
  </conditionalFormatting>
  <conditionalFormatting sqref="K3:K7">
    <cfRule type="expression" dxfId="9" priority="1">
      <formula>K3="Pass"</formula>
    </cfRule>
    <cfRule type="expression" dxfId="8" priority="2">
      <formula>K3="Fail"</formula>
    </cfRule>
    <cfRule type="expression" dxfId="7" priority="3">
      <formula>K3="Blocked"</formula>
    </cfRule>
    <cfRule type="expression" dxfId="6" priority="4">
      <formula>K3="Not Run"</formula>
    </cfRule>
  </conditionalFormatting>
  <dataValidations count="4">
    <dataValidation type="list" sqref="K3:K7" xr:uid="{00000000-0002-0000-0600-000000000000}">
      <formula1>"Not Run,Pass,Fail,Blocked"</formula1>
    </dataValidation>
    <dataValidation type="list" sqref="H3:H7" xr:uid="{00000000-0002-0000-0600-000001000000}">
      <formula1>"Critical,High,Medium,Low"</formula1>
    </dataValidation>
    <dataValidation type="list" sqref="I3:I7" xr:uid="{00000000-0002-0000-0600-000002000000}">
      <formula1>"Positive,Negative,Regression,Integration,Security,Usability,E2E"</formula1>
    </dataValidation>
    <dataValidation type="list" sqref="J3:J7" xr:uid="{00000000-0002-0000-06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showGridLines="0" workbookViewId="0">
      <selection sqref="A1:XFD1048576"/>
    </sheetView>
  </sheetViews>
  <sheetFormatPr defaultRowHeight="14.4" x14ac:dyDescent="0.3"/>
  <cols>
    <col min="1" max="1" width="12.109375" bestFit="1" customWidth="1"/>
    <col min="2" max="2" width="21.5546875" bestFit="1" customWidth="1"/>
    <col min="3" max="3" width="48" customWidth="1"/>
    <col min="4" max="4" width="33.77734375" bestFit="1" customWidth="1"/>
    <col min="5" max="5" width="26.77734375" bestFit="1" customWidth="1"/>
    <col min="6" max="6" width="21.33203125" bestFit="1" customWidth="1"/>
    <col min="7" max="7" width="43.88671875" bestFit="1" customWidth="1"/>
    <col min="8" max="8" width="7.33203125" bestFit="1" customWidth="1"/>
    <col min="9" max="9" width="5.109375" bestFit="1" customWidth="1"/>
    <col min="10" max="10" width="20.77734375" bestFit="1" customWidth="1"/>
    <col min="11" max="11" width="7.88671875" bestFit="1" customWidth="1"/>
    <col min="12" max="12" width="21.21875" bestFit="1" customWidth="1"/>
  </cols>
  <sheetData>
    <row r="1" spans="1:12" ht="24" customHeight="1" x14ac:dyDescent="0.3">
      <c r="A1" s="14" t="s">
        <v>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8.05" customHeight="1" x14ac:dyDescent="0.3">
      <c r="A2" s="3" t="s">
        <v>73</v>
      </c>
      <c r="B2" s="3" t="s">
        <v>39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59</v>
      </c>
      <c r="L2" s="3" t="s">
        <v>82</v>
      </c>
    </row>
    <row r="3" spans="1:12" ht="42" customHeight="1" x14ac:dyDescent="0.3">
      <c r="A3" s="6" t="s">
        <v>274</v>
      </c>
      <c r="B3" s="6" t="s">
        <v>55</v>
      </c>
      <c r="C3" s="6" t="s">
        <v>275</v>
      </c>
      <c r="D3" s="6" t="s">
        <v>276</v>
      </c>
      <c r="E3" s="6" t="s">
        <v>277</v>
      </c>
      <c r="F3" s="6" t="s">
        <v>278</v>
      </c>
      <c r="G3" s="6" t="s">
        <v>279</v>
      </c>
      <c r="H3" s="6" t="s">
        <v>89</v>
      </c>
      <c r="I3" s="6" t="s">
        <v>280</v>
      </c>
      <c r="J3" s="6" t="s">
        <v>91</v>
      </c>
      <c r="K3" s="6" t="s">
        <v>8</v>
      </c>
      <c r="L3" s="6" t="s">
        <v>281</v>
      </c>
    </row>
    <row r="4" spans="1:12" ht="42" customHeight="1" x14ac:dyDescent="0.3">
      <c r="A4" s="6" t="s">
        <v>282</v>
      </c>
      <c r="B4" s="6" t="s">
        <v>55</v>
      </c>
      <c r="C4" s="6" t="s">
        <v>283</v>
      </c>
      <c r="D4" s="6" t="s">
        <v>284</v>
      </c>
      <c r="E4" s="6" t="s">
        <v>285</v>
      </c>
      <c r="F4" s="6" t="s">
        <v>286</v>
      </c>
      <c r="G4" s="6" t="s">
        <v>287</v>
      </c>
      <c r="H4" s="6" t="s">
        <v>89</v>
      </c>
      <c r="I4" s="6" t="s">
        <v>280</v>
      </c>
      <c r="J4" s="6" t="s">
        <v>91</v>
      </c>
      <c r="K4" s="6" t="s">
        <v>8</v>
      </c>
      <c r="L4" s="6" t="s">
        <v>288</v>
      </c>
    </row>
    <row r="5" spans="1:12" ht="42" customHeight="1" x14ac:dyDescent="0.3">
      <c r="A5" s="6" t="s">
        <v>289</v>
      </c>
      <c r="B5" s="6" t="s">
        <v>55</v>
      </c>
      <c r="C5" s="6" t="s">
        <v>290</v>
      </c>
      <c r="D5" s="6" t="s">
        <v>291</v>
      </c>
      <c r="E5" s="6" t="s">
        <v>292</v>
      </c>
      <c r="F5" s="6" t="s">
        <v>293</v>
      </c>
      <c r="G5" s="6" t="s">
        <v>294</v>
      </c>
      <c r="H5" s="6" t="s">
        <v>89</v>
      </c>
      <c r="I5" s="6" t="s">
        <v>280</v>
      </c>
      <c r="J5" s="6" t="s">
        <v>91</v>
      </c>
      <c r="K5" s="6" t="s">
        <v>8</v>
      </c>
      <c r="L5" s="6" t="s">
        <v>295</v>
      </c>
    </row>
    <row r="6" spans="1:12" ht="42" customHeight="1" x14ac:dyDescent="0.3">
      <c r="A6" s="6" t="s">
        <v>296</v>
      </c>
      <c r="B6" s="6" t="s">
        <v>55</v>
      </c>
      <c r="C6" s="6" t="s">
        <v>297</v>
      </c>
      <c r="D6" s="6" t="s">
        <v>298</v>
      </c>
      <c r="E6" s="6" t="s">
        <v>299</v>
      </c>
      <c r="F6" s="6" t="s">
        <v>300</v>
      </c>
      <c r="G6" s="6" t="s">
        <v>301</v>
      </c>
      <c r="H6" s="6" t="s">
        <v>89</v>
      </c>
      <c r="I6" s="6" t="s">
        <v>280</v>
      </c>
      <c r="J6" s="6" t="s">
        <v>91</v>
      </c>
      <c r="K6" s="6" t="s">
        <v>8</v>
      </c>
      <c r="L6" s="6" t="s">
        <v>302</v>
      </c>
    </row>
  </sheetData>
  <mergeCells count="1">
    <mergeCell ref="A1:L1"/>
  </mergeCells>
  <conditionalFormatting sqref="H3:H6">
    <cfRule type="expression" dxfId="5" priority="5">
      <formula>H3="Critical"</formula>
    </cfRule>
    <cfRule type="expression" dxfId="4" priority="6">
      <formula>H3="High"</formula>
    </cfRule>
  </conditionalFormatting>
  <conditionalFormatting sqref="K3:K6">
    <cfRule type="expression" dxfId="3" priority="1">
      <formula>K3="Pass"</formula>
    </cfRule>
    <cfRule type="expression" dxfId="2" priority="2">
      <formula>K3="Fail"</formula>
    </cfRule>
    <cfRule type="expression" dxfId="1" priority="3">
      <formula>K3="Blocked"</formula>
    </cfRule>
    <cfRule type="expression" dxfId="0" priority="4">
      <formula>K3="Not Run"</formula>
    </cfRule>
  </conditionalFormatting>
  <dataValidations count="4">
    <dataValidation type="list" sqref="K3:K6" xr:uid="{00000000-0002-0000-0700-000000000000}">
      <formula1>"Not Run,Pass,Fail,Blocked"</formula1>
    </dataValidation>
    <dataValidation type="list" sqref="H3:H6" xr:uid="{00000000-0002-0000-0700-000001000000}">
      <formula1>"Critical,High,Medium,Low"</formula1>
    </dataValidation>
    <dataValidation type="list" sqref="I3:I6" xr:uid="{00000000-0002-0000-0700-000002000000}">
      <formula1>"Positive,Negative,Regression,Integration,Security,Usability,E2E"</formula1>
    </dataValidation>
    <dataValidation type="list" sqref="J3:J6" xr:uid="{00000000-0002-0000-0700-000003000000}">
      <formula1>"Yes,No,Later"</formula1>
    </dataValidation>
  </dataValidations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8d2d5684-10a2-4364-952f-c78858d41697}" enabled="1" method="Standard" siteId="{4a3454a0-8cf4-4a9c-b1c0-6ce4d1495f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Summary</vt:lpstr>
      <vt:lpstr>10_KYC_Account_Verification</vt:lpstr>
      <vt:lpstr>20_Responsible_Gaming_Limits</vt:lpstr>
      <vt:lpstr>30_Self_Exclusion_Timeouts</vt:lpstr>
      <vt:lpstr>40_Audit_Logging_Reporting</vt:lpstr>
      <vt:lpstr>50_Fraud_Access_Control</vt:lpstr>
      <vt:lpstr>60_Compliance_E2E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Tan, Ramon Jr</cp:lastModifiedBy>
  <dcterms:modified xsi:type="dcterms:W3CDTF">2026-04-05T11:57:13Z</dcterms:modified>
</cp:coreProperties>
</file>